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cuments\python_scripts\Antigravity\progetti\Stocks_Screener\liste_tickers\"/>
    </mc:Choice>
  </mc:AlternateContent>
  <xr:revisionPtr revIDLastSave="0" documentId="8_{506AF734-EE32-4884-915C-C784DF06DE39}" xr6:coauthVersionLast="47" xr6:coauthVersionMax="47" xr10:uidLastSave="{00000000-0000-0000-0000-000000000000}"/>
  <bookViews>
    <workbookView xWindow="-108" yWindow="-108" windowWidth="23256" windowHeight="12456" xr2:uid="{7AACCA8D-F01E-4053-98DB-7540F1C0003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  <c r="A2" i="1"/>
  <c r="B2" i="1"/>
  <c r="C2" i="1"/>
  <c r="D2" i="1"/>
  <c r="E2" i="1"/>
  <c r="F2" i="1"/>
  <c r="G2" i="1"/>
  <c r="H2" i="1"/>
  <c r="I2" i="1"/>
  <c r="J2" i="1"/>
  <c r="K2" i="1"/>
  <c r="L2" i="1"/>
  <c r="M2" i="1"/>
  <c r="O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<sst xmlns="http://schemas.openxmlformats.org/spreadsheetml/2006/main" count="15" uniqueCount="15">
  <si>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DESCRIZIONE</t>
  </si>
  <si>
    <t>PREZZO</t>
  </si>
  <si>
    <t>VAR %</t>
  </si>
  <si>
    <t>VAR</t>
  </si>
  <si>
    <t>VENDITA</t>
  </si>
  <si>
    <t>ACQUISTO</t>
  </si>
  <si>
    <t>MIN</t>
  </si>
  <si>
    <t>MAX</t>
  </si>
  <si>
    <t>APERTURA</t>
  </si>
  <si>
    <t>VOLUME</t>
  </si>
  <si>
    <t>MERCATO</t>
  </si>
  <si>
    <t>DATA/ORA</t>
  </si>
  <si>
    <t>SIMBOLO</t>
  </si>
  <si>
    <t>VAL</t>
  </si>
  <si>
    <t>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</si>
</sst>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h:mm:ss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48484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8" fontId="2" fillId="3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8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FDF" ddeTopic="Q">
    <ddeItems>
      <ddeItem name="ADS.EQ;7" advise="1">
        <values>
          <value t="nil">
            <val>1</val>
          </value>
        </values>
      </ddeItem>
      <ddeItem name="ADS.EQ;ask" advise="1">
        <values>
          <value t="nil">
            <val>1</val>
          </value>
        </values>
      </ddeItem>
      <ddeItem name="ADS.EQ;bid" advise="1">
        <values>
          <value t="nil">
            <val>1</val>
          </value>
        </values>
      </ddeItem>
      <ddeItem name="ADS.EQ;currency" advise="1">
        <values>
          <value t="nil">
            <val>1</val>
          </value>
        </values>
      </ddeItem>
      <ddeItem name="ADS.EQ;description" advise="1">
        <values>
          <value t="nil">
            <val>1</val>
          </value>
        </values>
      </ddeItem>
      <ddeItem name="ADS.EQ;high" advise="1">
        <values>
          <value t="nil">
            <val>1</val>
          </value>
        </values>
      </ddeItem>
      <ddeItem name="ADS.EQ;instr" advise="1">
        <values>
          <value t="nil">
            <val>1</val>
          </value>
        </values>
      </ddeItem>
      <ddeItem name="ADS.EQ;isin" advise="1">
        <values>
          <value t="nil">
            <val>1</val>
          </value>
        </values>
      </ddeItem>
      <ddeItem name="ADS.EQ;last" advise="1">
        <values>
          <value t="nil">
            <val>1</val>
          </value>
        </values>
      </ddeItem>
      <ddeItem name="ADS.EQ;low" advise="1">
        <values>
          <value t="nil">
            <val>1</val>
          </value>
        </values>
      </ddeItem>
      <ddeItem name="ADS.EQ;market" advise="1">
        <values>
          <value t="nil">
            <val>1</val>
          </value>
        </values>
      </ddeItem>
      <ddeItem name="ADS.EQ;open" advise="1">
        <values>
          <value t="nil">
            <val>1</val>
          </value>
        </values>
      </ddeItem>
      <ddeItem name="ADS.EQ;timestamp" advise="1">
        <values>
          <value t="nil">
            <val>1</val>
          </value>
        </values>
      </ddeItem>
      <ddeItem name="ADS.EQ;var_%" advise="1">
        <values>
          <value t="nil">
            <val>1</val>
          </value>
        </values>
      </ddeItem>
      <ddeItem name="ADS.EQ;volume" advise="1">
        <values>
          <value t="nil">
            <val>1</val>
          </value>
        </values>
      </ddeItem>
      <ddeItem name="AIR.FRA;7" advise="1">
        <values>
          <value t="nil">
            <val>1</val>
          </value>
        </values>
      </ddeItem>
      <ddeItem name="AIR.FRA;ask" advise="1">
        <values>
          <value t="nil">
            <val>1</val>
          </value>
        </values>
      </ddeItem>
      <ddeItem name="AIR.FRA;bid" advise="1">
        <values>
          <value t="nil">
            <val>1</val>
          </value>
        </values>
      </ddeItem>
      <ddeItem name="AIR.FRA;currency" advise="1">
        <values>
          <value t="nil">
            <val>1</val>
          </value>
        </values>
      </ddeItem>
      <ddeItem name="AIR.FRA;description" advise="1">
        <values>
          <value t="nil">
            <val>1</val>
          </value>
        </values>
      </ddeItem>
      <ddeItem name="AIR.FRA;high" advise="1">
        <values>
          <value t="nil">
            <val>1</val>
          </value>
        </values>
      </ddeItem>
      <ddeItem name="AIR.FRA;instr" advise="1">
        <values>
          <value t="nil">
            <val>1</val>
          </value>
        </values>
      </ddeItem>
      <ddeItem name="AIR.FRA;isin" advise="1">
        <values>
          <value t="nil">
            <val>1</val>
          </value>
        </values>
      </ddeItem>
      <ddeItem name="AIR.FRA;last" advise="1">
        <values>
          <value t="nil">
            <val>1</val>
          </value>
        </values>
      </ddeItem>
      <ddeItem name="AIR.FRA;low" advise="1">
        <values>
          <value t="nil">
            <val>1</val>
          </value>
        </values>
      </ddeItem>
      <ddeItem name="AIR.FRA;market" advise="1">
        <values>
          <value t="nil">
            <val>1</val>
          </value>
        </values>
      </ddeItem>
      <ddeItem name="AIR.FRA;open" advise="1">
        <values>
          <value t="nil">
            <val>1</val>
          </value>
        </values>
      </ddeItem>
      <ddeItem name="AIR.FRA;timestamp" advise="1">
        <values>
          <value t="nil">
            <val>1</val>
          </value>
        </values>
      </ddeItem>
      <ddeItem name="AIR.FRA;var_%" advise="1">
        <values>
          <value t="nil">
            <val>1</val>
          </value>
        </values>
      </ddeItem>
      <ddeItem name="AIR.FRA;volume" advise="1">
        <values>
          <value t="nil">
            <val>1</val>
          </value>
        </values>
      </ddeItem>
      <ddeItem name="ALV.EQ;7" advise="1">
        <values>
          <value t="nil">
            <val>1</val>
          </value>
        </values>
      </ddeItem>
      <ddeItem name="ALV.EQ;ask" advise="1">
        <values>
          <value t="nil">
            <val>1</val>
          </value>
        </values>
      </ddeItem>
      <ddeItem name="ALV.EQ;bid" advise="1">
        <values>
          <value t="nil">
            <val>1</val>
          </value>
        </values>
      </ddeItem>
      <ddeItem name="ALV.EQ;currency" advise="1">
        <values>
          <value t="nil">
            <val>1</val>
          </value>
        </values>
      </ddeItem>
      <ddeItem name="ALV.EQ;description" advise="1">
        <values>
          <value t="nil">
            <val>1</val>
          </value>
        </values>
      </ddeItem>
      <ddeItem name="ALV.EQ;high" advise="1">
        <values>
          <value t="nil">
            <val>1</val>
          </value>
        </values>
      </ddeItem>
      <ddeItem name="ALV.EQ;instr" advise="1">
        <values>
          <value t="nil">
            <val>1</val>
          </value>
        </values>
      </ddeItem>
      <ddeItem name="ALV.EQ;isin" advise="1">
        <values>
          <value t="nil">
            <val>1</val>
          </value>
        </values>
      </ddeItem>
      <ddeItem name="ALV.EQ;last" advise="1">
        <values>
          <value t="nil">
            <val>1</val>
          </value>
        </values>
      </ddeItem>
      <ddeItem name="ALV.EQ;low" advise="1">
        <values>
          <value t="nil">
            <val>1</val>
          </value>
        </values>
      </ddeItem>
      <ddeItem name="ALV.EQ;market" advise="1">
        <values>
          <value t="nil">
            <val>1</val>
          </value>
        </values>
      </ddeItem>
      <ddeItem name="ALV.EQ;open" advise="1">
        <values>
          <value t="nil">
            <val>1</val>
          </value>
        </values>
      </ddeItem>
      <ddeItem name="ALV.EQ;timestamp" advise="1">
        <values>
          <value t="nil">
            <val>1</val>
          </value>
        </values>
      </ddeItem>
      <ddeItem name="ALV.EQ;var_%" advise="1">
        <values>
          <value t="nil">
            <val>1</val>
          </value>
        </values>
      </ddeItem>
      <ddeItem name="ALV.EQ;volume" advise="1">
        <values>
          <value t="nil">
            <val>1</val>
          </value>
        </values>
      </ddeItem>
      <ddeItem name="BAS.EQ;7" advise="1">
        <values>
          <value t="nil">
            <val>1</val>
          </value>
        </values>
      </ddeItem>
      <ddeItem name="BAS.EQ;ask" advise="1">
        <values>
          <value t="nil">
            <val>1</val>
          </value>
        </values>
      </ddeItem>
      <ddeItem name="BAS.EQ;bid" advise="1">
        <values>
          <value t="nil">
            <val>1</val>
          </value>
        </values>
      </ddeItem>
      <ddeItem name="BAS.EQ;currency" advise="1">
        <values>
          <value t="nil">
            <val>1</val>
          </value>
        </values>
      </ddeItem>
      <ddeItem name="BAS.EQ;description" advise="1">
        <values>
          <value t="nil">
            <val>1</val>
          </value>
        </values>
      </ddeItem>
      <ddeItem name="BAS.EQ;high" advise="1">
        <values>
          <value t="nil">
            <val>1</val>
          </value>
        </values>
      </ddeItem>
      <ddeItem name="BAS.EQ;instr" advise="1">
        <values>
          <value t="nil">
            <val>1</val>
          </value>
        </values>
      </ddeItem>
      <ddeItem name="BAS.EQ;isin" advise="1">
        <values>
          <value t="nil">
            <val>1</val>
          </value>
        </values>
      </ddeItem>
      <ddeItem name="BAS.EQ;last" advise="1">
        <values>
          <value t="nil">
            <val>1</val>
          </value>
        </values>
      </ddeItem>
      <ddeItem name="BAS.EQ;low" advise="1">
        <values>
          <value t="nil">
            <val>1</val>
          </value>
        </values>
      </ddeItem>
      <ddeItem name="BAS.EQ;market" advise="1">
        <values>
          <value t="nil">
            <val>1</val>
          </value>
        </values>
      </ddeItem>
      <ddeItem name="BAS.EQ;open" advise="1">
        <values>
          <value t="nil">
            <val>1</val>
          </value>
        </values>
      </ddeItem>
      <ddeItem name="BAS.EQ;timestamp" advise="1">
        <values>
          <value t="nil">
            <val>1</val>
          </value>
        </values>
      </ddeItem>
      <ddeItem name="BAS.EQ;var_%" advise="1">
        <values>
          <value t="nil">
            <val>1</val>
          </value>
        </values>
      </ddeItem>
      <ddeItem name="BAS.EQ;volume" advise="1">
        <values>
          <value t="nil">
            <val>1</val>
          </value>
        </values>
      </ddeItem>
      <ddeItem name="BAYN.EQ;7" advise="1">
        <values>
          <value t="nil">
            <val>1</val>
          </value>
        </values>
      </ddeItem>
      <ddeItem name="BAYN.EQ;ask" advise="1">
        <values>
          <value t="nil">
            <val>1</val>
          </value>
        </values>
      </ddeItem>
      <ddeItem name="BAYN.EQ;bid" advise="1">
        <values>
          <value t="nil">
            <val>1</val>
          </value>
        </values>
      </ddeItem>
      <ddeItem name="BAYN.EQ;currency" advise="1">
        <values>
          <value t="nil">
            <val>1</val>
          </value>
        </values>
      </ddeItem>
      <ddeItem name="BAYN.EQ;description" advise="1">
        <values>
          <value t="nil">
            <val>1</val>
          </value>
        </values>
      </ddeItem>
      <ddeItem name="BAYN.EQ;high" advise="1">
        <values>
          <value t="nil">
            <val>1</val>
          </value>
        </values>
      </ddeItem>
      <ddeItem name="BAYN.EQ;instr" advise="1">
        <values>
          <value t="nil">
            <val>1</val>
          </value>
        </values>
      </ddeItem>
      <ddeItem name="BAYN.EQ;isin" advise="1">
        <values>
          <value t="nil">
            <val>1</val>
          </value>
        </values>
      </ddeItem>
      <ddeItem name="BAYN.EQ;last" advise="1">
        <values>
          <value t="nil">
            <val>1</val>
          </value>
        </values>
      </ddeItem>
      <ddeItem name="BAYN.EQ;low" advise="1">
        <values>
          <value t="nil">
            <val>1</val>
          </value>
        </values>
      </ddeItem>
      <ddeItem name="BAYN.EQ;market" advise="1">
        <values>
          <value t="nil">
            <val>1</val>
          </value>
        </values>
      </ddeItem>
      <ddeItem name="BAYN.EQ;open" advise="1">
        <values>
          <value t="nil">
            <val>1</val>
          </value>
        </values>
      </ddeItem>
      <ddeItem name="BAYN.EQ;timestamp" advise="1">
        <values>
          <value t="nil">
            <val>1</val>
          </value>
        </values>
      </ddeItem>
      <ddeItem name="BAYN.EQ;var_%" advise="1">
        <values>
          <value t="nil">
            <val>1</val>
          </value>
        </values>
      </ddeItem>
      <ddeItem name="BAYN.EQ;volume" advise="1">
        <values>
          <value t="nil">
            <val>1</val>
          </value>
        </values>
      </ddeItem>
      <ddeItem name="BEI.EQ;7" advise="1">
        <values>
          <value t="nil">
            <val>1</val>
          </value>
        </values>
      </ddeItem>
      <ddeItem name="BEI.EQ;ask" advise="1">
        <values>
          <value t="nil">
            <val>1</val>
          </value>
        </values>
      </ddeItem>
      <ddeItem name="BEI.EQ;bid" advise="1">
        <values>
          <value t="nil">
            <val>1</val>
          </value>
        </values>
      </ddeItem>
      <ddeItem name="BEI.EQ;currency" advise="1">
        <values>
          <value t="nil">
            <val>1</val>
          </value>
        </values>
      </ddeItem>
      <ddeItem name="BEI.EQ;description" advise="1">
        <values>
          <value t="nil">
            <val>1</val>
          </value>
        </values>
      </ddeItem>
      <ddeItem name="BEI.EQ;high" advise="1">
        <values>
          <value t="nil">
            <val>1</val>
          </value>
        </values>
      </ddeItem>
      <ddeItem name="BEI.EQ;instr" advise="1">
        <values>
          <value t="nil">
            <val>1</val>
          </value>
        </values>
      </ddeItem>
      <ddeItem name="BEI.EQ;isin" advise="1">
        <values>
          <value t="nil">
            <val>1</val>
          </value>
        </values>
      </ddeItem>
      <ddeItem name="BEI.EQ;last" advise="1">
        <values>
          <value t="nil">
            <val>1</val>
          </value>
        </values>
      </ddeItem>
      <ddeItem name="BEI.EQ;low" advise="1">
        <values>
          <value t="nil">
            <val>1</val>
          </value>
        </values>
      </ddeItem>
      <ddeItem name="BEI.EQ;market" advise="1">
        <values>
          <value t="nil">
            <val>1</val>
          </value>
        </values>
      </ddeItem>
      <ddeItem name="BEI.EQ;open" advise="1">
        <values>
          <value t="nil">
            <val>1</val>
          </value>
        </values>
      </ddeItem>
      <ddeItem name="BEI.EQ;timestamp" advise="1">
        <values>
          <value t="nil">
            <val>1</val>
          </value>
        </values>
      </ddeItem>
      <ddeItem name="BEI.EQ;var_%" advise="1">
        <values>
          <value t="nil">
            <val>1</val>
          </value>
        </values>
      </ddeItem>
      <ddeItem name="BEI.EQ;volume" advise="1">
        <values>
          <value t="nil">
            <val>1</val>
          </value>
        </values>
      </ddeItem>
      <ddeItem name="BMW.EQ;7" advise="1">
        <values>
          <value t="nil">
            <val>1</val>
          </value>
        </values>
      </ddeItem>
      <ddeItem name="BMW.EQ;ask" advise="1">
        <values>
          <value t="nil">
            <val>1</val>
          </value>
        </values>
      </ddeItem>
      <ddeItem name="BMW.EQ;bid" advise="1">
        <values>
          <value t="nil">
            <val>1</val>
          </value>
        </values>
      </ddeItem>
      <ddeItem name="BMW.EQ;currency" advise="1">
        <values>
          <value t="nil">
            <val>1</val>
          </value>
        </values>
      </ddeItem>
      <ddeItem name="BMW.EQ;description" advise="1">
        <values>
          <value t="nil">
            <val>1</val>
          </value>
        </values>
      </ddeItem>
      <ddeItem name="BMW.EQ;high" advise="1">
        <values>
          <value t="nil">
            <val>1</val>
          </value>
        </values>
      </ddeItem>
      <ddeItem name="BMW.EQ;instr" advise="1">
        <values>
          <value t="nil">
            <val>1</val>
          </value>
        </values>
      </ddeItem>
      <ddeItem name="BMW.EQ;isin" advise="1">
        <values>
          <value t="nil">
            <val>1</val>
          </value>
        </values>
      </ddeItem>
      <ddeItem name="BMW.EQ;last" advise="1">
        <values>
          <value t="nil">
            <val>1</val>
          </value>
        </values>
      </ddeItem>
      <ddeItem name="BMW.EQ;low" advise="1">
        <values>
          <value t="nil">
            <val>1</val>
          </value>
        </values>
      </ddeItem>
      <ddeItem name="BMW.EQ;market" advise="1">
        <values>
          <value t="nil">
            <val>1</val>
          </value>
        </values>
      </ddeItem>
      <ddeItem name="BMW.EQ;open" advise="1">
        <values>
          <value t="nil">
            <val>1</val>
          </value>
        </values>
      </ddeItem>
      <ddeItem name="BMW.EQ;timestamp" advise="1">
        <values>
          <value t="nil">
            <val>1</val>
          </value>
        </values>
      </ddeItem>
      <ddeItem name="BMW.EQ;var_%" advise="1">
        <values>
          <value t="nil">
            <val>1</val>
          </value>
        </values>
      </ddeItem>
      <ddeItem name="BMW.EQ;volume" advise="1">
        <values>
          <value t="nil">
            <val>1</val>
          </value>
        </values>
      </ddeItem>
      <ddeItem name="BNR.EQ;7" advise="1">
        <values>
          <value t="nil">
            <val>1</val>
          </value>
        </values>
      </ddeItem>
      <ddeItem name="BNR.EQ;ask" advise="1">
        <values>
          <value t="nil">
            <val>1</val>
          </value>
        </values>
      </ddeItem>
      <ddeItem name="BNR.EQ;bid" advise="1">
        <values>
          <value t="nil">
            <val>1</val>
          </value>
        </values>
      </ddeItem>
      <ddeItem name="BNR.EQ;currency" advise="1">
        <values>
          <value t="nil">
            <val>1</val>
          </value>
        </values>
      </ddeItem>
      <ddeItem name="BNR.EQ;description" advise="1">
        <values>
          <value t="nil">
            <val>1</val>
          </value>
        </values>
      </ddeItem>
      <ddeItem name="BNR.EQ;high" advise="1">
        <values>
          <value t="nil">
            <val>1</val>
          </value>
        </values>
      </ddeItem>
      <ddeItem name="BNR.EQ;instr" advise="1">
        <values>
          <value t="nil">
            <val>1</val>
          </value>
        </values>
      </ddeItem>
      <ddeItem name="BNR.EQ;isin" advise="1">
        <values>
          <value t="nil">
            <val>1</val>
          </value>
        </values>
      </ddeItem>
      <ddeItem name="BNR.EQ;last" advise="1">
        <values>
          <value t="nil">
            <val>1</val>
          </value>
        </values>
      </ddeItem>
      <ddeItem name="BNR.EQ;low" advise="1">
        <values>
          <value t="nil">
            <val>1</val>
          </value>
        </values>
      </ddeItem>
      <ddeItem name="BNR.EQ;market" advise="1">
        <values>
          <value t="nil">
            <val>1</val>
          </value>
        </values>
      </ddeItem>
      <ddeItem name="BNR.EQ;open" advise="1">
        <values>
          <value t="nil">
            <val>1</val>
          </value>
        </values>
      </ddeItem>
      <ddeItem name="BNR.EQ;timestamp" advise="1">
        <values>
          <value t="nil">
            <val>1</val>
          </value>
        </values>
      </ddeItem>
      <ddeItem name="BNR.EQ;var_%" advise="1">
        <values>
          <value t="nil">
            <val>1</val>
          </value>
        </values>
      </ddeItem>
      <ddeItem name="BNR.EQ;volume" advise="1">
        <values>
          <value t="nil">
            <val>1</val>
          </value>
        </values>
      </ddeItem>
      <ddeItem name="CBK.EQ;7" advise="1">
        <values>
          <value t="nil">
            <val>1</val>
          </value>
        </values>
      </ddeItem>
      <ddeItem name="CBK.EQ;ask" advise="1">
        <values>
          <value t="nil">
            <val>1</val>
          </value>
        </values>
      </ddeItem>
      <ddeItem name="CBK.EQ;bid" advise="1">
        <values>
          <value t="nil">
            <val>1</val>
          </value>
        </values>
      </ddeItem>
      <ddeItem name="CBK.EQ;currency" advise="1">
        <values>
          <value t="nil">
            <val>1</val>
          </value>
        </values>
      </ddeItem>
      <ddeItem name="CBK.EQ;description" advise="1">
        <values>
          <value t="nil">
            <val>1</val>
          </value>
        </values>
      </ddeItem>
      <ddeItem name="CBK.EQ;high" advise="1">
        <values>
          <value t="nil">
            <val>1</val>
          </value>
        </values>
      </ddeItem>
      <ddeItem name="CBK.EQ;instr" advise="1">
        <values>
          <value t="nil">
            <val>1</val>
          </value>
        </values>
      </ddeItem>
      <ddeItem name="CBK.EQ;isin" advise="1">
        <values>
          <value t="nil">
            <val>1</val>
          </value>
        </values>
      </ddeItem>
      <ddeItem name="CBK.EQ;last" advise="1">
        <values>
          <value t="nil">
            <val>1</val>
          </value>
        </values>
      </ddeItem>
      <ddeItem name="CBK.EQ;low" advise="1">
        <values>
          <value t="nil">
            <val>1</val>
          </value>
        </values>
      </ddeItem>
      <ddeItem name="CBK.EQ;market" advise="1">
        <values>
          <value t="nil">
            <val>1</val>
          </value>
        </values>
      </ddeItem>
      <ddeItem name="CBK.EQ;open" advise="1">
        <values>
          <value t="nil">
            <val>1</val>
          </value>
        </values>
      </ddeItem>
      <ddeItem name="CBK.EQ;timestamp" advise="1">
        <values>
          <value t="nil">
            <val>1</val>
          </value>
        </values>
      </ddeItem>
      <ddeItem name="CBK.EQ;var_%" advise="1">
        <values>
          <value t="nil">
            <val>1</val>
          </value>
        </values>
      </ddeItem>
      <ddeItem name="CBK.EQ;volume" advise="1">
        <values>
          <value t="nil">
            <val>1</val>
          </value>
        </values>
      </ddeItem>
      <ddeItem name="CON.EQ;7" advise="1">
        <values>
          <value t="nil">
            <val>1</val>
          </value>
        </values>
      </ddeItem>
      <ddeItem name="CON.EQ;ask" advise="1">
        <values>
          <value t="nil">
            <val>1</val>
          </value>
        </values>
      </ddeItem>
      <ddeItem name="CON.EQ;bid" advise="1">
        <values>
          <value t="nil">
            <val>1</val>
          </value>
        </values>
      </ddeItem>
      <ddeItem name="CON.EQ;currency" advise="1">
        <values>
          <value t="nil">
            <val>1</val>
          </value>
        </values>
      </ddeItem>
      <ddeItem name="CON.EQ;description" advise="1">
        <values>
          <value t="nil">
            <val>1</val>
          </value>
        </values>
      </ddeItem>
      <ddeItem name="CON.EQ;high" advise="1">
        <values>
          <value t="nil">
            <val>1</val>
          </value>
        </values>
      </ddeItem>
      <ddeItem name="CON.EQ;instr" advise="1">
        <values>
          <value t="nil">
            <val>1</val>
          </value>
        </values>
      </ddeItem>
      <ddeItem name="CON.EQ;isin" advise="1">
        <values>
          <value t="nil">
            <val>1</val>
          </value>
        </values>
      </ddeItem>
      <ddeItem name="CON.EQ;last" advise="1">
        <values>
          <value t="nil">
            <val>1</val>
          </value>
        </values>
      </ddeItem>
      <ddeItem name="CON.EQ;low" advise="1">
        <values>
          <value t="nil">
            <val>1</val>
          </value>
        </values>
      </ddeItem>
      <ddeItem name="CON.EQ;market" advise="1">
        <values>
          <value t="nil">
            <val>1</val>
          </value>
        </values>
      </ddeItem>
      <ddeItem name="CON.EQ;open" advise="1">
        <values>
          <value t="nil">
            <val>1</val>
          </value>
        </values>
      </ddeItem>
      <ddeItem name="CON.EQ;timestamp" advise="1">
        <values>
          <value t="nil">
            <val>1</val>
          </value>
        </values>
      </ddeItem>
      <ddeItem name="CON.EQ;var_%" advise="1">
        <values>
          <value t="nil">
            <val>1</val>
          </value>
        </values>
      </ddeItem>
      <ddeItem name="CON.EQ;volume" advise="1">
        <values>
          <value t="nil">
            <val>1</val>
          </value>
        </values>
      </ddeItem>
      <ddeItem name="DB1.EQ;7" advise="1">
        <values>
          <value t="nil">
            <val>1</val>
          </value>
        </values>
      </ddeItem>
      <ddeItem name="DB1.EQ;ask" advise="1">
        <values>
          <value t="nil">
            <val>1</val>
          </value>
        </values>
      </ddeItem>
      <ddeItem name="DB1.EQ;bid" advise="1">
        <values>
          <value t="nil">
            <val>1</val>
          </value>
        </values>
      </ddeItem>
      <ddeItem name="DB1.EQ;currency" advise="1">
        <values>
          <value t="nil">
            <val>1</val>
          </value>
        </values>
      </ddeItem>
      <ddeItem name="DB1.EQ;description" advise="1">
        <values>
          <value t="nil">
            <val>1</val>
          </value>
        </values>
      </ddeItem>
      <ddeItem name="DB1.EQ;high" advise="1">
        <values>
          <value t="nil">
            <val>1</val>
          </value>
        </values>
      </ddeItem>
      <ddeItem name="DB1.EQ;instr" advise="1">
        <values>
          <value t="nil">
            <val>1</val>
          </value>
        </values>
      </ddeItem>
      <ddeItem name="DB1.EQ;isin" advise="1">
        <values>
          <value t="nil">
            <val>1</val>
          </value>
        </values>
      </ddeItem>
      <ddeItem name="DB1.EQ;last" advise="1">
        <values>
          <value t="nil">
            <val>1</val>
          </value>
        </values>
      </ddeItem>
      <ddeItem name="DB1.EQ;low" advise="1">
        <values>
          <value t="nil">
            <val>1</val>
          </value>
        </values>
      </ddeItem>
      <ddeItem name="DB1.EQ;market" advise="1">
        <values>
          <value t="nil">
            <val>1</val>
          </value>
        </values>
      </ddeItem>
      <ddeItem name="DB1.EQ;open" advise="1">
        <values>
          <value t="nil">
            <val>1</val>
          </value>
        </values>
      </ddeItem>
      <ddeItem name="DB1.EQ;timestamp" advise="1">
        <values>
          <value t="nil">
            <val>1</val>
          </value>
        </values>
      </ddeItem>
      <ddeItem name="DB1.EQ;var_%" advise="1">
        <values>
          <value t="nil">
            <val>1</val>
          </value>
        </values>
      </ddeItem>
      <ddeItem name="DB1.EQ;volume" advise="1">
        <values>
          <value t="nil">
            <val>1</val>
          </value>
        </values>
      </ddeItem>
      <ddeItem name="DBK.EQ;7" advise="1">
        <values>
          <value t="nil">
            <val>1</val>
          </value>
        </values>
      </ddeItem>
      <ddeItem name="DBK.EQ;ask" advise="1">
        <values>
          <value t="nil">
            <val>1</val>
          </value>
        </values>
      </ddeItem>
      <ddeItem name="DBK.EQ;bid" advise="1">
        <values>
          <value t="nil">
            <val>1</val>
          </value>
        </values>
      </ddeItem>
      <ddeItem name="DBK.EQ;currency" advise="1">
        <values>
          <value t="nil">
            <val>1</val>
          </value>
        </values>
      </ddeItem>
      <ddeItem name="DBK.EQ;description" advise="1">
        <values>
          <value t="nil">
            <val>1</val>
          </value>
        </values>
      </ddeItem>
      <ddeItem name="DBK.EQ;high" advise="1">
        <values>
          <value t="nil">
            <val>1</val>
          </value>
        </values>
      </ddeItem>
      <ddeItem name="DBK.EQ;instr" advise="1">
        <values>
          <value t="nil">
            <val>1</val>
          </value>
        </values>
      </ddeItem>
      <ddeItem name="DBK.EQ;isin" advise="1">
        <values>
          <value t="nil">
            <val>1</val>
          </value>
        </values>
      </ddeItem>
      <ddeItem name="DBK.EQ;last" advise="1">
        <values>
          <value t="nil">
            <val>1</val>
          </value>
        </values>
      </ddeItem>
      <ddeItem name="DBK.EQ;low" advise="1">
        <values>
          <value t="nil">
            <val>1</val>
          </value>
        </values>
      </ddeItem>
      <ddeItem name="DBK.EQ;market" advise="1">
        <values>
          <value t="nil">
            <val>1</val>
          </value>
        </values>
      </ddeItem>
      <ddeItem name="DBK.EQ;open" advise="1">
        <values>
          <value t="nil">
            <val>1</val>
          </value>
        </values>
      </ddeItem>
      <ddeItem name="DBK.EQ;timestamp" advise="1">
        <values>
          <value t="nil">
            <val>1</val>
          </value>
        </values>
      </ddeItem>
      <ddeItem name="DBK.EQ;var_%" advise="1">
        <values>
          <value t="nil">
            <val>1</val>
          </value>
        </values>
      </ddeItem>
      <ddeItem name="DBK.EQ;volume" advise="1">
        <values>
          <value t="nil">
            <val>1</val>
          </value>
        </values>
      </ddeItem>
      <ddeItem name="DHL.EQ;7" advise="1">
        <values>
          <value t="nil">
            <val>1</val>
          </value>
        </values>
      </ddeItem>
      <ddeItem name="DHL.EQ;ask" advise="1">
        <values>
          <value t="nil">
            <val>1</val>
          </value>
        </values>
      </ddeItem>
      <ddeItem name="DHL.EQ;bid" advise="1">
        <values>
          <value t="nil">
            <val>1</val>
          </value>
        </values>
      </ddeItem>
      <ddeItem name="DHL.EQ;currency" advise="1">
        <values>
          <value t="nil">
            <val>1</val>
          </value>
        </values>
      </ddeItem>
      <ddeItem name="DHL.EQ;description" advise="1">
        <values>
          <value t="nil">
            <val>1</val>
          </value>
        </values>
      </ddeItem>
      <ddeItem name="DHL.EQ;high" advise="1">
        <values>
          <value t="nil">
            <val>1</val>
          </value>
        </values>
      </ddeItem>
      <ddeItem name="DHL.EQ;instr" advise="1">
        <values>
          <value t="nil">
            <val>1</val>
          </value>
        </values>
      </ddeItem>
      <ddeItem name="DHL.EQ;isin" advise="1">
        <values>
          <value t="nil">
            <val>1</val>
          </value>
        </values>
      </ddeItem>
      <ddeItem name="DHL.EQ;last" advise="1">
        <values>
          <value t="nil">
            <val>1</val>
          </value>
        </values>
      </ddeItem>
      <ddeItem name="DHL.EQ;low" advise="1">
        <values>
          <value t="nil">
            <val>1</val>
          </value>
        </values>
      </ddeItem>
      <ddeItem name="DHL.EQ;market" advise="1">
        <values>
          <value t="nil">
            <val>1</val>
          </value>
        </values>
      </ddeItem>
      <ddeItem name="DHL.EQ;open" advise="1">
        <values>
          <value t="nil">
            <val>1</val>
          </value>
        </values>
      </ddeItem>
      <ddeItem name="DHL.EQ;timestamp" advise="1">
        <values>
          <value t="nil">
            <val>1</val>
          </value>
        </values>
      </ddeItem>
      <ddeItem name="DHL.EQ;var_%" advise="1">
        <values>
          <value t="nil">
            <val>1</val>
          </value>
        </values>
      </ddeItem>
      <ddeItem name="DHL.EQ;volume" advise="1">
        <values>
          <value t="nil">
            <val>1</val>
          </value>
        </values>
      </ddeItem>
      <ddeItem name="DTE.EQ;7" advise="1">
        <values>
          <value t="nil">
            <val>1</val>
          </value>
        </values>
      </ddeItem>
      <ddeItem name="DTE.EQ;ask" advise="1">
        <values>
          <value t="nil">
            <val>1</val>
          </value>
        </values>
      </ddeItem>
      <ddeItem name="DTE.EQ;bid" advise="1">
        <values>
          <value t="nil">
            <val>1</val>
          </value>
        </values>
      </ddeItem>
      <ddeItem name="DTE.EQ;currency" advise="1">
        <values>
          <value t="nil">
            <val>1</val>
          </value>
        </values>
      </ddeItem>
      <ddeItem name="DTE.EQ;description" advise="1">
        <values>
          <value t="nil">
            <val>1</val>
          </value>
        </values>
      </ddeItem>
      <ddeItem name="DTE.EQ;high" advise="1">
        <values>
          <value t="nil">
            <val>1</val>
          </value>
        </values>
      </ddeItem>
      <ddeItem name="DTE.EQ;instr" advise="1">
        <values>
          <value t="nil">
            <val>1</val>
          </value>
        </values>
      </ddeItem>
      <ddeItem name="DTE.EQ;isin" advise="1">
        <values>
          <value t="nil">
            <val>1</val>
          </value>
        </values>
      </ddeItem>
      <ddeItem name="DTE.EQ;last" advise="1">
        <values>
          <value t="nil">
            <val>1</val>
          </value>
        </values>
      </ddeItem>
      <ddeItem name="DTE.EQ;low" advise="1">
        <values>
          <value t="nil">
            <val>1</val>
          </value>
        </values>
      </ddeItem>
      <ddeItem name="DTE.EQ;market" advise="1">
        <values>
          <value t="nil">
            <val>1</val>
          </value>
        </values>
      </ddeItem>
      <ddeItem name="DTE.EQ;open" advise="1">
        <values>
          <value t="nil">
            <val>1</val>
          </value>
        </values>
      </ddeItem>
      <ddeItem name="DTE.EQ;timestamp" advise="1">
        <values>
          <value t="nil">
            <val>1</val>
          </value>
        </values>
      </ddeItem>
      <ddeItem name="DTE.EQ;var_%" advise="1">
        <values>
          <value t="nil">
            <val>1</val>
          </value>
        </values>
      </ddeItem>
      <ddeItem name="DTE.EQ;volume" advise="1">
        <values>
          <value t="nil">
            <val>1</val>
          </value>
        </values>
      </ddeItem>
      <ddeItem name="DTG.EQ;7" advise="1">
        <values>
          <value t="nil">
            <val>1</val>
          </value>
        </values>
      </ddeItem>
      <ddeItem name="DTG.EQ;ask" advise="1">
        <values>
          <value t="nil">
            <val>1</val>
          </value>
        </values>
      </ddeItem>
      <ddeItem name="DTG.EQ;bid" advise="1">
        <values>
          <value t="nil">
            <val>1</val>
          </value>
        </values>
      </ddeItem>
      <ddeItem name="DTG.EQ;currency" advise="1">
        <values>
          <value t="nil">
            <val>1</val>
          </value>
        </values>
      </ddeItem>
      <ddeItem name="DTG.EQ;description" advise="1">
        <values>
          <value t="nil">
            <val>1</val>
          </value>
        </values>
      </ddeItem>
      <ddeItem name="DTG.EQ;high" advise="1">
        <values>
          <value t="nil">
            <val>1</val>
          </value>
        </values>
      </ddeItem>
      <ddeItem name="DTG.EQ;instr" advise="1">
        <values>
          <value t="nil">
            <val>1</val>
          </value>
        </values>
      </ddeItem>
      <ddeItem name="DTG.EQ;isin" advise="1">
        <values>
          <value t="nil">
            <val>1</val>
          </value>
        </values>
      </ddeItem>
      <ddeItem name="DTG.EQ;last" advise="1">
        <values>
          <value t="nil">
            <val>1</val>
          </value>
        </values>
      </ddeItem>
      <ddeItem name="DTG.EQ;low" advise="1">
        <values>
          <value t="nil">
            <val>1</val>
          </value>
        </values>
      </ddeItem>
      <ddeItem name="DTG.EQ;market" advise="1">
        <values>
          <value t="nil">
            <val>1</val>
          </value>
        </values>
      </ddeItem>
      <ddeItem name="DTG.EQ;open" advise="1">
        <values>
          <value t="nil">
            <val>1</val>
          </value>
        </values>
      </ddeItem>
      <ddeItem name="DTG.EQ;timestamp" advise="1">
        <values>
          <value t="nil">
            <val>1</val>
          </value>
        </values>
      </ddeItem>
      <ddeItem name="DTG.EQ;var_%" advise="1">
        <values>
          <value t="nil">
            <val>1</val>
          </value>
        </values>
      </ddeItem>
      <ddeItem name="DTG.EQ;volume" advise="1">
        <values>
          <value t="nil">
            <val>1</val>
          </value>
        </values>
      </ddeItem>
      <ddeItem name="ENR.EQ;7" advise="1">
        <values>
          <value t="nil">
            <val>1</val>
          </value>
        </values>
      </ddeItem>
      <ddeItem name="ENR.EQ;ask" advise="1">
        <values>
          <value t="nil">
            <val>1</val>
          </value>
        </values>
      </ddeItem>
      <ddeItem name="ENR.EQ;bid" advise="1">
        <values>
          <value t="nil">
            <val>1</val>
          </value>
        </values>
      </ddeItem>
      <ddeItem name="ENR.EQ;currency" advise="1">
        <values>
          <value t="nil">
            <val>1</val>
          </value>
        </values>
      </ddeItem>
      <ddeItem name="ENR.EQ;description" advise="1">
        <values>
          <value t="nil">
            <val>1</val>
          </value>
        </values>
      </ddeItem>
      <ddeItem name="ENR.EQ;high" advise="1">
        <values>
          <value t="nil">
            <val>1</val>
          </value>
        </values>
      </ddeItem>
      <ddeItem name="ENR.EQ;instr" advise="1">
        <values>
          <value t="nil">
            <val>1</val>
          </value>
        </values>
      </ddeItem>
      <ddeItem name="ENR.EQ;isin" advise="1">
        <values>
          <value t="nil">
            <val>1</val>
          </value>
        </values>
      </ddeItem>
      <ddeItem name="ENR.EQ;last" advise="1">
        <values>
          <value t="nil">
            <val>1</val>
          </value>
        </values>
      </ddeItem>
      <ddeItem name="ENR.EQ;low" advise="1">
        <values>
          <value t="nil">
            <val>1</val>
          </value>
        </values>
      </ddeItem>
      <ddeItem name="ENR.EQ;market" advise="1">
        <values>
          <value t="nil">
            <val>1</val>
          </value>
        </values>
      </ddeItem>
      <ddeItem name="ENR.EQ;open" advise="1">
        <values>
          <value t="nil">
            <val>1</val>
          </value>
        </values>
      </ddeItem>
      <ddeItem name="ENR.EQ;timestamp" advise="1">
        <values>
          <value t="nil">
            <val>1</val>
          </value>
        </values>
      </ddeItem>
      <ddeItem name="ENR.EQ;var_%" advise="1">
        <values>
          <value t="nil">
            <val>1</val>
          </value>
        </values>
      </ddeItem>
      <ddeItem name="ENR.EQ;volume" advise="1">
        <values>
          <value t="nil">
            <val>1</val>
          </value>
        </values>
      </ddeItem>
      <ddeItem name="EOAN.EQ;7" advise="1">
        <values>
          <value t="nil">
            <val>1</val>
          </value>
        </values>
      </ddeItem>
      <ddeItem name="EOAN.EQ;ask" advise="1">
        <values>
          <value t="nil">
            <val>1</val>
          </value>
        </values>
      </ddeItem>
      <ddeItem name="EOAN.EQ;bid" advise="1">
        <values>
          <value t="nil">
            <val>1</val>
          </value>
        </values>
      </ddeItem>
      <ddeItem name="EOAN.EQ;currency" advise="1">
        <values>
          <value t="nil">
            <val>1</val>
          </value>
        </values>
      </ddeItem>
      <ddeItem name="EOAN.EQ;description" advise="1">
        <values>
          <value t="nil">
            <val>1</val>
          </value>
        </values>
      </ddeItem>
      <ddeItem name="EOAN.EQ;high" advise="1">
        <values>
          <value t="nil">
            <val>1</val>
          </value>
        </values>
      </ddeItem>
      <ddeItem name="EOAN.EQ;instr" advise="1">
        <values>
          <value t="nil">
            <val>1</val>
          </value>
        </values>
      </ddeItem>
      <ddeItem name="EOAN.EQ;isin" advise="1">
        <values>
          <value t="nil">
            <val>1</val>
          </value>
        </values>
      </ddeItem>
      <ddeItem name="EOAN.EQ;last" advise="1">
        <values>
          <value t="nil">
            <val>1</val>
          </value>
        </values>
      </ddeItem>
      <ddeItem name="EOAN.EQ;low" advise="1">
        <values>
          <value t="nil">
            <val>1</val>
          </value>
        </values>
      </ddeItem>
      <ddeItem name="EOAN.EQ;market" advise="1">
        <values>
          <value t="nil">
            <val>1</val>
          </value>
        </values>
      </ddeItem>
      <ddeItem name="EOAN.EQ;open" advise="1">
        <values>
          <value t="nil">
            <val>1</val>
          </value>
        </values>
      </ddeItem>
      <ddeItem name="EOAN.EQ;timestamp" advise="1">
        <values>
          <value t="nil">
            <val>1</val>
          </value>
        </values>
      </ddeItem>
      <ddeItem name="EOAN.EQ;var_%" advise="1">
        <values>
          <value t="nil">
            <val>1</val>
          </value>
        </values>
      </ddeItem>
      <ddeItem name="EOAN.EQ;volume" advise="1">
        <values>
          <value t="nil">
            <val>1</val>
          </value>
        </values>
      </ddeItem>
      <ddeItem name="FME.EQ;7" advise="1">
        <values>
          <value t="nil">
            <val>1</val>
          </value>
        </values>
      </ddeItem>
      <ddeItem name="FME.EQ;ask" advise="1">
        <values>
          <value t="nil">
            <val>1</val>
          </value>
        </values>
      </ddeItem>
      <ddeItem name="FME.EQ;bid" advise="1">
        <values>
          <value t="nil">
            <val>1</val>
          </value>
        </values>
      </ddeItem>
      <ddeItem name="FME.EQ;currency" advise="1">
        <values>
          <value t="nil">
            <val>1</val>
          </value>
        </values>
      </ddeItem>
      <ddeItem name="FME.EQ;description" advise="1">
        <values>
          <value t="nil">
            <val>1</val>
          </value>
        </values>
      </ddeItem>
      <ddeItem name="FME.EQ;high" advise="1">
        <values>
          <value t="nil">
            <val>1</val>
          </value>
        </values>
      </ddeItem>
      <ddeItem name="FME.EQ;instr" advise="1">
        <values>
          <value t="nil">
            <val>1</val>
          </value>
        </values>
      </ddeItem>
      <ddeItem name="FME.EQ;isin" advise="1">
        <values>
          <value t="nil">
            <val>1</val>
          </value>
        </values>
      </ddeItem>
      <ddeItem name="FME.EQ;last" advise="1">
        <values>
          <value t="nil">
            <val>1</val>
          </value>
        </values>
      </ddeItem>
      <ddeItem name="FME.EQ;low" advise="1">
        <values>
          <value t="nil">
            <val>1</val>
          </value>
        </values>
      </ddeItem>
      <ddeItem name="FME.EQ;market" advise="1">
        <values>
          <value t="nil">
            <val>1</val>
          </value>
        </values>
      </ddeItem>
      <ddeItem name="FME.EQ;open" advise="1">
        <values>
          <value t="nil">
            <val>1</val>
          </value>
        </values>
      </ddeItem>
      <ddeItem name="FME.EQ;timestamp" advise="1">
        <values>
          <value t="nil">
            <val>1</val>
          </value>
        </values>
      </ddeItem>
      <ddeItem name="FME.EQ;var_%" advise="1">
        <values>
          <value t="nil">
            <val>1</val>
          </value>
        </values>
      </ddeItem>
      <ddeItem name="FME.EQ;volume" advise="1">
        <values>
          <value t="nil">
            <val>1</val>
          </value>
        </values>
      </ddeItem>
      <ddeItem name="FRE.EQ;7" advise="1">
        <values>
          <value t="nil">
            <val>1</val>
          </value>
        </values>
      </ddeItem>
      <ddeItem name="FRE.EQ;ask" advise="1">
        <values>
          <value t="nil">
            <val>1</val>
          </value>
        </values>
      </ddeItem>
      <ddeItem name="FRE.EQ;bid" advise="1">
        <values>
          <value t="nil">
            <val>1</val>
          </value>
        </values>
      </ddeItem>
      <ddeItem name="FRE.EQ;currency" advise="1">
        <values>
          <value t="nil">
            <val>1</val>
          </value>
        </values>
      </ddeItem>
      <ddeItem name="FRE.EQ;description" advise="1">
        <values>
          <value t="nil">
            <val>1</val>
          </value>
        </values>
      </ddeItem>
      <ddeItem name="FRE.EQ;high" advise="1">
        <values>
          <value t="nil">
            <val>1</val>
          </value>
        </values>
      </ddeItem>
      <ddeItem name="FRE.EQ;instr" advise="1">
        <values>
          <value t="nil">
            <val>1</val>
          </value>
        </values>
      </ddeItem>
      <ddeItem name="FRE.EQ;isin" advise="1">
        <values>
          <value t="nil">
            <val>1</val>
          </value>
        </values>
      </ddeItem>
      <ddeItem name="FRE.EQ;last" advise="1">
        <values>
          <value t="nil">
            <val>1</val>
          </value>
        </values>
      </ddeItem>
      <ddeItem name="FRE.EQ;low" advise="1">
        <values>
          <value t="nil">
            <val>1</val>
          </value>
        </values>
      </ddeItem>
      <ddeItem name="FRE.EQ;market" advise="1">
        <values>
          <value t="nil">
            <val>1</val>
          </value>
        </values>
      </ddeItem>
      <ddeItem name="FRE.EQ;open" advise="1">
        <values>
          <value t="nil">
            <val>1</val>
          </value>
        </values>
      </ddeItem>
      <ddeItem name="FRE.EQ;timestamp" advise="1">
        <values>
          <value t="nil">
            <val>1</val>
          </value>
        </values>
      </ddeItem>
      <ddeItem name="FRE.EQ;var_%" advise="1">
        <values>
          <value t="nil">
            <val>1</val>
          </value>
        </values>
      </ddeItem>
      <ddeItem name="FRE.EQ;volume" advise="1">
        <values>
          <value t="nil">
            <val>1</val>
          </value>
        </values>
      </ddeItem>
      <ddeItem name="G1A.EQ;7" advise="1">
        <values>
          <value t="nil">
            <val>1</val>
          </value>
        </values>
      </ddeItem>
      <ddeItem name="G1A.EQ;ask" advise="1">
        <values>
          <value t="nil">
            <val>1</val>
          </value>
        </values>
      </ddeItem>
      <ddeItem name="G1A.EQ;bid" advise="1">
        <values>
          <value t="nil">
            <val>1</val>
          </value>
        </values>
      </ddeItem>
      <ddeItem name="G1A.EQ;currency" advise="1">
        <values>
          <value t="nil">
            <val>1</val>
          </value>
        </values>
      </ddeItem>
      <ddeItem name="G1A.EQ;description" advise="1">
        <values>
          <value t="nil">
            <val>1</val>
          </value>
        </values>
      </ddeItem>
      <ddeItem name="G1A.EQ;high" advise="1">
        <values>
          <value t="nil">
            <val>1</val>
          </value>
        </values>
      </ddeItem>
      <ddeItem name="G1A.EQ;instr" advise="1">
        <values>
          <value t="nil">
            <val>1</val>
          </value>
        </values>
      </ddeItem>
      <ddeItem name="G1A.EQ;isin" advise="1">
        <values>
          <value t="nil">
            <val>1</val>
          </value>
        </values>
      </ddeItem>
      <ddeItem name="G1A.EQ;last" advise="1">
        <values>
          <value t="nil">
            <val>1</val>
          </value>
        </values>
      </ddeItem>
      <ddeItem name="G1A.EQ;low" advise="1">
        <values>
          <value t="nil">
            <val>1</val>
          </value>
        </values>
      </ddeItem>
      <ddeItem name="G1A.EQ;market" advise="1">
        <values>
          <value t="nil">
            <val>1</val>
          </value>
        </values>
      </ddeItem>
      <ddeItem name="G1A.EQ;open" advise="1">
        <values>
          <value t="nil">
            <val>1</val>
          </value>
        </values>
      </ddeItem>
      <ddeItem name="G1A.EQ;timestamp" advise="1">
        <values>
          <value t="nil">
            <val>1</val>
          </value>
        </values>
      </ddeItem>
      <ddeItem name="G1A.EQ;var_%" advise="1">
        <values>
          <value t="nil">
            <val>1</val>
          </value>
        </values>
      </ddeItem>
      <ddeItem name="G1A.EQ;volume" advise="1">
        <values>
          <value t="nil">
            <val>1</val>
          </value>
        </values>
      </ddeItem>
      <ddeItem name="G24.EQ;7" advise="1">
        <values>
          <value t="nil">
            <val>1</val>
          </value>
        </values>
      </ddeItem>
      <ddeItem name="G24.EQ;ask" advise="1">
        <values>
          <value t="nil">
            <val>1</val>
          </value>
        </values>
      </ddeItem>
      <ddeItem name="G24.EQ;bid" advise="1">
        <values>
          <value t="nil">
            <val>1</val>
          </value>
        </values>
      </ddeItem>
      <ddeItem name="G24.EQ;currency" advise="1">
        <values>
          <value t="nil">
            <val>1</val>
          </value>
        </values>
      </ddeItem>
      <ddeItem name="G24.EQ;description" advise="1">
        <values>
          <value t="nil">
            <val>1</val>
          </value>
        </values>
      </ddeItem>
      <ddeItem name="G24.EQ;high" advise="1">
        <values>
          <value t="nil">
            <val>1</val>
          </value>
        </values>
      </ddeItem>
      <ddeItem name="G24.EQ;instr" advise="1">
        <values>
          <value t="nil">
            <val>1</val>
          </value>
        </values>
      </ddeItem>
      <ddeItem name="G24.EQ;isin" advise="1">
        <values>
          <value t="nil">
            <val>1</val>
          </value>
        </values>
      </ddeItem>
      <ddeItem name="G24.EQ;last" advise="1">
        <values>
          <value t="nil">
            <val>1</val>
          </value>
        </values>
      </ddeItem>
      <ddeItem name="G24.EQ;low" advise="1">
        <values>
          <value t="nil">
            <val>1</val>
          </value>
        </values>
      </ddeItem>
      <ddeItem name="G24.EQ;market" advise="1">
        <values>
          <value t="nil">
            <val>1</val>
          </value>
        </values>
      </ddeItem>
      <ddeItem name="G24.EQ;open" advise="1">
        <values>
          <value t="nil">
            <val>1</val>
          </value>
        </values>
      </ddeItem>
      <ddeItem name="G24.EQ;timestamp" advise="1">
        <values>
          <value t="nil">
            <val>1</val>
          </value>
        </values>
      </ddeItem>
      <ddeItem name="G24.EQ;var_%" advise="1">
        <values>
          <value t="nil">
            <val>1</val>
          </value>
        </values>
      </ddeItem>
      <ddeItem name="G24.EQ;volume" advise="1">
        <values>
          <value t="nil">
            <val>1</val>
          </value>
        </values>
      </ddeItem>
      <ddeItem name="HEI.EQ;7" advise="1">
        <values>
          <value t="nil">
            <val>1</val>
          </value>
        </values>
      </ddeItem>
      <ddeItem name="HEI.EQ;ask" advise="1">
        <values>
          <value t="nil">
            <val>1</val>
          </value>
        </values>
      </ddeItem>
      <ddeItem name="HEI.EQ;bid" advise="1">
        <values>
          <value t="nil">
            <val>1</val>
          </value>
        </values>
      </ddeItem>
      <ddeItem name="HEI.EQ;currency" advise="1">
        <values>
          <value t="nil">
            <val>1</val>
          </value>
        </values>
      </ddeItem>
      <ddeItem name="HEI.EQ;description" advise="1">
        <values>
          <value t="nil">
            <val>1</val>
          </value>
        </values>
      </ddeItem>
      <ddeItem name="HEI.EQ;high" advise="1">
        <values>
          <value t="nil">
            <val>1</val>
          </value>
        </values>
      </ddeItem>
      <ddeItem name="HEI.EQ;instr" advise="1">
        <values>
          <value t="nil">
            <val>1</val>
          </value>
        </values>
      </ddeItem>
      <ddeItem name="HEI.EQ;isin" advise="1">
        <values>
          <value t="nil">
            <val>1</val>
          </value>
        </values>
      </ddeItem>
      <ddeItem name="HEI.EQ;last" advise="1">
        <values>
          <value t="nil">
            <val>1</val>
          </value>
        </values>
      </ddeItem>
      <ddeItem name="HEI.EQ;low" advise="1">
        <values>
          <value t="nil">
            <val>1</val>
          </value>
        </values>
      </ddeItem>
      <ddeItem name="HEI.EQ;market" advise="1">
        <values>
          <value t="nil">
            <val>1</val>
          </value>
        </values>
      </ddeItem>
      <ddeItem name="HEI.EQ;open" advise="1">
        <values>
          <value t="nil">
            <val>1</val>
          </value>
        </values>
      </ddeItem>
      <ddeItem name="HEI.EQ;timestamp" advise="1">
        <values>
          <value t="nil">
            <val>1</val>
          </value>
        </values>
      </ddeItem>
      <ddeItem name="HEI.EQ;var_%" advise="1">
        <values>
          <value t="nil">
            <val>1</val>
          </value>
        </values>
      </ddeItem>
      <ddeItem name="HEI.EQ;volume" advise="1">
        <values>
          <value t="nil">
            <val>1</val>
          </value>
        </values>
      </ddeItem>
      <ddeItem name="HEN3.EQ;7" advise="1">
        <values>
          <value t="nil">
            <val>1</val>
          </value>
        </values>
      </ddeItem>
      <ddeItem name="HEN3.EQ;ask" advise="1">
        <values>
          <value t="nil">
            <val>1</val>
          </value>
        </values>
      </ddeItem>
      <ddeItem name="HEN3.EQ;bid" advise="1">
        <values>
          <value t="nil">
            <val>1</val>
          </value>
        </values>
      </ddeItem>
      <ddeItem name="HEN3.EQ;currency" advise="1">
        <values>
          <value t="nil">
            <val>1</val>
          </value>
        </values>
      </ddeItem>
      <ddeItem name="HEN3.EQ;description" advise="1">
        <values>
          <value t="nil">
            <val>1</val>
          </value>
        </values>
      </ddeItem>
      <ddeItem name="HEN3.EQ;high" advise="1">
        <values>
          <value t="nil">
            <val>1</val>
          </value>
        </values>
      </ddeItem>
      <ddeItem name="HEN3.EQ;instr" advise="1">
        <values>
          <value t="nil">
            <val>1</val>
          </value>
        </values>
      </ddeItem>
      <ddeItem name="HEN3.EQ;isin" advise="1">
        <values>
          <value t="nil">
            <val>1</val>
          </value>
        </values>
      </ddeItem>
      <ddeItem name="HEN3.EQ;last" advise="1">
        <values>
          <value t="nil">
            <val>1</val>
          </value>
        </values>
      </ddeItem>
      <ddeItem name="HEN3.EQ;low" advise="1">
        <values>
          <value t="nil">
            <val>1</val>
          </value>
        </values>
      </ddeItem>
      <ddeItem name="HEN3.EQ;market" advise="1">
        <values>
          <value t="nil">
            <val>1</val>
          </value>
        </values>
      </ddeItem>
      <ddeItem name="HEN3.EQ;open" advise="1">
        <values>
          <value t="nil">
            <val>1</val>
          </value>
        </values>
      </ddeItem>
      <ddeItem name="HEN3.EQ;timestamp" advise="1">
        <values>
          <value t="nil">
            <val>1</val>
          </value>
        </values>
      </ddeItem>
      <ddeItem name="HEN3.EQ;var_%" advise="1">
        <values>
          <value t="nil">
            <val>1</val>
          </value>
        </values>
      </ddeItem>
      <ddeItem name="HEN3.EQ;volume" advise="1">
        <values>
          <value t="nil">
            <val>1</val>
          </value>
        </values>
      </ddeItem>
      <ddeItem name="HNR1.EQ;7" advise="1">
        <values>
          <value t="nil">
            <val>1</val>
          </value>
        </values>
      </ddeItem>
      <ddeItem name="HNR1.EQ;ask" advise="1">
        <values>
          <value t="nil">
            <val>1</val>
          </value>
        </values>
      </ddeItem>
      <ddeItem name="HNR1.EQ;bid" advise="1">
        <values>
          <value t="nil">
            <val>1</val>
          </value>
        </values>
      </ddeItem>
      <ddeItem name="HNR1.EQ;currency" advise="1">
        <values>
          <value t="nil">
            <val>1</val>
          </value>
        </values>
      </ddeItem>
      <ddeItem name="HNR1.EQ;description" advise="1">
        <values>
          <value t="nil">
            <val>1</val>
          </value>
        </values>
      </ddeItem>
      <ddeItem name="HNR1.EQ;high" advise="1">
        <values>
          <value t="nil">
            <val>1</val>
          </value>
        </values>
      </ddeItem>
      <ddeItem name="HNR1.EQ;instr" advise="1">
        <values>
          <value t="nil">
            <val>1</val>
          </value>
        </values>
      </ddeItem>
      <ddeItem name="HNR1.EQ;isin" advise="1">
        <values>
          <value t="nil">
            <val>1</val>
          </value>
        </values>
      </ddeItem>
      <ddeItem name="HNR1.EQ;last" advise="1">
        <values>
          <value t="nil">
            <val>1</val>
          </value>
        </values>
      </ddeItem>
      <ddeItem name="HNR1.EQ;low" advise="1">
        <values>
          <value t="nil">
            <val>1</val>
          </value>
        </values>
      </ddeItem>
      <ddeItem name="HNR1.EQ;market" advise="1">
        <values>
          <value t="nil">
            <val>1</val>
          </value>
        </values>
      </ddeItem>
      <ddeItem name="HNR1.EQ;open" advise="1">
        <values>
          <value t="nil">
            <val>1</val>
          </value>
        </values>
      </ddeItem>
      <ddeItem name="HNR1.EQ;timestamp" advise="1">
        <values>
          <value t="nil">
            <val>1</val>
          </value>
        </values>
      </ddeItem>
      <ddeItem name="HNR1.EQ;var_%" advise="1">
        <values>
          <value t="nil">
            <val>1</val>
          </value>
        </values>
      </ddeItem>
      <ddeItem name="HNR1.EQ;volume" advise="1">
        <values>
          <value t="nil">
            <val>1</val>
          </value>
        </values>
      </ddeItem>
      <ddeItem name="IFX.EQ;7" advise="1">
        <values>
          <value t="nil">
            <val>1</val>
          </value>
        </values>
      </ddeItem>
      <ddeItem name="IFX.EQ;ask" advise="1">
        <values>
          <value t="nil">
            <val>1</val>
          </value>
        </values>
      </ddeItem>
      <ddeItem name="IFX.EQ;bid" advise="1">
        <values>
          <value t="nil">
            <val>1</val>
          </value>
        </values>
      </ddeItem>
      <ddeItem name="IFX.EQ;currency" advise="1">
        <values>
          <value t="nil">
            <val>1</val>
          </value>
        </values>
      </ddeItem>
      <ddeItem name="IFX.EQ;description" advise="1">
        <values>
          <value t="nil">
            <val>1</val>
          </value>
        </values>
      </ddeItem>
      <ddeItem name="IFX.EQ;high" advise="1">
        <values>
          <value t="nil">
            <val>1</val>
          </value>
        </values>
      </ddeItem>
      <ddeItem name="IFX.EQ;instr" advise="1">
        <values>
          <value t="nil">
            <val>1</val>
          </value>
        </values>
      </ddeItem>
      <ddeItem name="IFX.EQ;isin" advise="1">
        <values>
          <value t="nil">
            <val>1</val>
          </value>
        </values>
      </ddeItem>
      <ddeItem name="IFX.EQ;last" advise="1">
        <values>
          <value t="nil">
            <val>1</val>
          </value>
        </values>
      </ddeItem>
      <ddeItem name="IFX.EQ;low" advise="1">
        <values>
          <value t="nil">
            <val>1</val>
          </value>
        </values>
      </ddeItem>
      <ddeItem name="IFX.EQ;market" advise="1">
        <values>
          <value t="nil">
            <val>1</val>
          </value>
        </values>
      </ddeItem>
      <ddeItem name="IFX.EQ;open" advise="1">
        <values>
          <value t="nil">
            <val>1</val>
          </value>
        </values>
      </ddeItem>
      <ddeItem name="IFX.EQ;timestamp" advise="1">
        <values>
          <value t="nil">
            <val>1</val>
          </value>
        </values>
      </ddeItem>
      <ddeItem name="IFX.EQ;var_%" advise="1">
        <values>
          <value t="nil">
            <val>1</val>
          </value>
        </values>
      </ddeItem>
      <ddeItem name="IFX.EQ;volume" advise="1">
        <values>
          <value t="nil">
            <val>1</val>
          </value>
        </values>
      </ddeItem>
      <ddeItem name="MBG.EQ;7" advise="1">
        <values>
          <value t="nil">
            <val>1</val>
          </value>
        </values>
      </ddeItem>
      <ddeItem name="MBG.EQ;ask" advise="1">
        <values>
          <value t="nil">
            <val>1</val>
          </value>
        </values>
      </ddeItem>
      <ddeItem name="MBG.EQ;bid" advise="1">
        <values>
          <value t="nil">
            <val>1</val>
          </value>
        </values>
      </ddeItem>
      <ddeItem name="MBG.EQ;currency" advise="1">
        <values>
          <value t="nil">
            <val>1</val>
          </value>
        </values>
      </ddeItem>
      <ddeItem name="MBG.EQ;description" advise="1">
        <values>
          <value t="nil">
            <val>1</val>
          </value>
        </values>
      </ddeItem>
      <ddeItem name="MBG.EQ;high" advise="1">
        <values>
          <value t="nil">
            <val>1</val>
          </value>
        </values>
      </ddeItem>
      <ddeItem name="MBG.EQ;instr" advise="1">
        <values>
          <value t="nil">
            <val>1</val>
          </value>
        </values>
      </ddeItem>
      <ddeItem name="MBG.EQ;isin" advise="1">
        <values>
          <value t="nil">
            <val>1</val>
          </value>
        </values>
      </ddeItem>
      <ddeItem name="MBG.EQ;last" advise="1">
        <values>
          <value t="nil">
            <val>1</val>
          </value>
        </values>
      </ddeItem>
      <ddeItem name="MBG.EQ;low" advise="1">
        <values>
          <value t="nil">
            <val>1</val>
          </value>
        </values>
      </ddeItem>
      <ddeItem name="MBG.EQ;market" advise="1">
        <values>
          <value t="nil">
            <val>1</val>
          </value>
        </values>
      </ddeItem>
      <ddeItem name="MBG.EQ;open" advise="1">
        <values>
          <value t="nil">
            <val>1</val>
          </value>
        </values>
      </ddeItem>
      <ddeItem name="MBG.EQ;timestamp" advise="1">
        <values>
          <value t="nil">
            <val>1</val>
          </value>
        </values>
      </ddeItem>
      <ddeItem name="MBG.EQ;var_%" advise="1">
        <values>
          <value t="nil">
            <val>1</val>
          </value>
        </values>
      </ddeItem>
      <ddeItem name="MBG.EQ;volume" advise="1">
        <values>
          <value t="nil">
            <val>1</val>
          </value>
        </values>
      </ddeItem>
      <ddeItem name="MRK.EQ;7" advise="1">
        <values>
          <value t="nil">
            <val>1</val>
          </value>
        </values>
      </ddeItem>
      <ddeItem name="MRK.EQ;ask" advise="1">
        <values>
          <value t="nil">
            <val>1</val>
          </value>
        </values>
      </ddeItem>
      <ddeItem name="MRK.EQ;bid" advise="1">
        <values>
          <value t="nil">
            <val>1</val>
          </value>
        </values>
      </ddeItem>
      <ddeItem name="MRK.EQ;currency" advise="1">
        <values>
          <value t="nil">
            <val>1</val>
          </value>
        </values>
      </ddeItem>
      <ddeItem name="MRK.EQ;description" advise="1">
        <values>
          <value t="nil">
            <val>1</val>
          </value>
        </values>
      </ddeItem>
      <ddeItem name="MRK.EQ;high" advise="1">
        <values>
          <value t="nil">
            <val>1</val>
          </value>
        </values>
      </ddeItem>
      <ddeItem name="MRK.EQ;instr" advise="1">
        <values>
          <value t="nil">
            <val>1</val>
          </value>
        </values>
      </ddeItem>
      <ddeItem name="MRK.EQ;isin" advise="1">
        <values>
          <value t="nil">
            <val>1</val>
          </value>
        </values>
      </ddeItem>
      <ddeItem name="MRK.EQ;last" advise="1">
        <values>
          <value t="nil">
            <val>1</val>
          </value>
        </values>
      </ddeItem>
      <ddeItem name="MRK.EQ;low" advise="1">
        <values>
          <value t="nil">
            <val>1</val>
          </value>
        </values>
      </ddeItem>
      <ddeItem name="MRK.EQ;market" advise="1">
        <values>
          <value t="nil">
            <val>1</val>
          </value>
        </values>
      </ddeItem>
      <ddeItem name="MRK.EQ;open" advise="1">
        <values>
          <value t="nil">
            <val>1</val>
          </value>
        </values>
      </ddeItem>
      <ddeItem name="MRK.EQ;timestamp" advise="1">
        <values>
          <value t="nil">
            <val>1</val>
          </value>
        </values>
      </ddeItem>
      <ddeItem name="MRK.EQ;var_%" advise="1">
        <values>
          <value t="nil">
            <val>1</val>
          </value>
        </values>
      </ddeItem>
      <ddeItem name="MRK.EQ;volume" advise="1">
        <values>
          <value t="nil">
            <val>1</val>
          </value>
        </values>
      </ddeItem>
      <ddeItem name="MTX.EQ;7" advise="1">
        <values>
          <value t="nil">
            <val>1</val>
          </value>
        </values>
      </ddeItem>
      <ddeItem name="MTX.EQ;ask" advise="1">
        <values>
          <value t="nil">
            <val>1</val>
          </value>
        </values>
      </ddeItem>
      <ddeItem name="MTX.EQ;bid" advise="1">
        <values>
          <value t="nil">
            <val>1</val>
          </value>
        </values>
      </ddeItem>
      <ddeItem name="MTX.EQ;currency" advise="1">
        <values>
          <value t="nil">
            <val>1</val>
          </value>
        </values>
      </ddeItem>
      <ddeItem name="MTX.EQ;description" advise="1">
        <values>
          <value t="nil">
            <val>1</val>
          </value>
        </values>
      </ddeItem>
      <ddeItem name="MTX.EQ;high" advise="1">
        <values>
          <value t="nil">
            <val>1</val>
          </value>
        </values>
      </ddeItem>
      <ddeItem name="MTX.EQ;instr" advise="1">
        <values>
          <value t="nil">
            <val>1</val>
          </value>
        </values>
      </ddeItem>
      <ddeItem name="MTX.EQ;isin" advise="1">
        <values>
          <value t="nil">
            <val>1</val>
          </value>
        </values>
      </ddeItem>
      <ddeItem name="MTX.EQ;last" advise="1">
        <values>
          <value t="nil">
            <val>1</val>
          </value>
        </values>
      </ddeItem>
      <ddeItem name="MTX.EQ;low" advise="1">
        <values>
          <value t="nil">
            <val>1</val>
          </value>
        </values>
      </ddeItem>
      <ddeItem name="MTX.EQ;market" advise="1">
        <values>
          <value t="nil">
            <val>1</val>
          </value>
        </values>
      </ddeItem>
      <ddeItem name="MTX.EQ;open" advise="1">
        <values>
          <value t="nil">
            <val>1</val>
          </value>
        </values>
      </ddeItem>
      <ddeItem name="MTX.EQ;timestamp" advise="1">
        <values>
          <value t="nil">
            <val>1</val>
          </value>
        </values>
      </ddeItem>
      <ddeItem name="MTX.EQ;var_%" advise="1">
        <values>
          <value t="nil">
            <val>1</val>
          </value>
        </values>
      </ddeItem>
      <ddeItem name="MTX.EQ;volume" advise="1">
        <values>
          <value t="nil">
            <val>1</val>
          </value>
        </values>
      </ddeItem>
      <ddeItem name="MUV2.EQ;7" advise="1">
        <values>
          <value t="nil">
            <val>1</val>
          </value>
        </values>
      </ddeItem>
      <ddeItem name="MUV2.EQ;ask" advise="1">
        <values>
          <value t="nil">
            <val>1</val>
          </value>
        </values>
      </ddeItem>
      <ddeItem name="MUV2.EQ;bid" advise="1">
        <values>
          <value t="nil">
            <val>1</val>
          </value>
        </values>
      </ddeItem>
      <ddeItem name="MUV2.EQ;currency" advise="1">
        <values>
          <value t="nil">
            <val>1</val>
          </value>
        </values>
      </ddeItem>
      <ddeItem name="MUV2.EQ;description" advise="1">
        <values>
          <value t="nil">
            <val>1</val>
          </value>
        </values>
      </ddeItem>
      <ddeItem name="MUV2.EQ;high" advise="1">
        <values>
          <value t="nil">
            <val>1</val>
          </value>
        </values>
      </ddeItem>
      <ddeItem name="MUV2.EQ;instr" advise="1">
        <values>
          <value t="nil">
            <val>1</val>
          </value>
        </values>
      </ddeItem>
      <ddeItem name="MUV2.EQ;isin" advise="1">
        <values>
          <value t="nil">
            <val>1</val>
          </value>
        </values>
      </ddeItem>
      <ddeItem name="MUV2.EQ;last" advise="1">
        <values>
          <value t="nil">
            <val>1</val>
          </value>
        </values>
      </ddeItem>
      <ddeItem name="MUV2.EQ;low" advise="1">
        <values>
          <value t="nil">
            <val>1</val>
          </value>
        </values>
      </ddeItem>
      <ddeItem name="MUV2.EQ;market" advise="1">
        <values>
          <value t="nil">
            <val>1</val>
          </value>
        </values>
      </ddeItem>
      <ddeItem name="MUV2.EQ;open" advise="1">
        <values>
          <value t="nil">
            <val>1</val>
          </value>
        </values>
      </ddeItem>
      <ddeItem name="MUV2.EQ;timestamp" advise="1">
        <values>
          <value t="nil">
            <val>1</val>
          </value>
        </values>
      </ddeItem>
      <ddeItem name="MUV2.EQ;var_%" advise="1">
        <values>
          <value t="nil">
            <val>1</val>
          </value>
        </values>
      </ddeItem>
      <ddeItem name="MUV2.EQ;volume" advise="1">
        <values>
          <value t="nil">
            <val>1</val>
          </value>
        </values>
      </ddeItem>
      <ddeItem name="PAH3.EQ;7" advise="1">
        <values>
          <value t="nil">
            <val>1</val>
          </value>
        </values>
      </ddeItem>
      <ddeItem name="PAH3.EQ;ask" advise="1">
        <values>
          <value t="nil">
            <val>1</val>
          </value>
        </values>
      </ddeItem>
      <ddeItem name="PAH3.EQ;bid" advise="1">
        <values>
          <value t="nil">
            <val>1</val>
          </value>
        </values>
      </ddeItem>
      <ddeItem name="PAH3.EQ;currency" advise="1">
        <values>
          <value t="nil">
            <val>1</val>
          </value>
        </values>
      </ddeItem>
      <ddeItem name="PAH3.EQ;description" advise="1">
        <values>
          <value t="nil">
            <val>1</val>
          </value>
        </values>
      </ddeItem>
      <ddeItem name="PAH3.EQ;high" advise="1">
        <values>
          <value t="nil">
            <val>1</val>
          </value>
        </values>
      </ddeItem>
      <ddeItem name="PAH3.EQ;instr" advise="1">
        <values>
          <value t="nil">
            <val>1</val>
          </value>
        </values>
      </ddeItem>
      <ddeItem name="PAH3.EQ;isin" advise="1">
        <values>
          <value t="nil">
            <val>1</val>
          </value>
        </values>
      </ddeItem>
      <ddeItem name="PAH3.EQ;last" advise="1">
        <values>
          <value t="nil">
            <val>1</val>
          </value>
        </values>
      </ddeItem>
      <ddeItem name="PAH3.EQ;low" advise="1">
        <values>
          <value t="nil">
            <val>1</val>
          </value>
        </values>
      </ddeItem>
      <ddeItem name="PAH3.EQ;market" advise="1">
        <values>
          <value t="nil">
            <val>1</val>
          </value>
        </values>
      </ddeItem>
      <ddeItem name="PAH3.EQ;open" advise="1">
        <values>
          <value t="nil">
            <val>1</val>
          </value>
        </values>
      </ddeItem>
      <ddeItem name="PAH3.EQ;timestamp" advise="1">
        <values>
          <value t="nil">
            <val>1</val>
          </value>
        </values>
      </ddeItem>
      <ddeItem name="PAH3.EQ;var_%" advise="1">
        <values>
          <value t="nil">
            <val>1</val>
          </value>
        </values>
      </ddeItem>
      <ddeItem name="PAH3.EQ;volume" advise="1">
        <values>
          <value t="nil">
            <val>1</val>
          </value>
        </values>
      </ddeItem>
      <ddeItem name="QIA.EQ;7" advise="1">
        <values>
          <value t="nil">
            <val>1</val>
          </value>
        </values>
      </ddeItem>
      <ddeItem name="QIA.EQ;ask" advise="1">
        <values>
          <value t="nil">
            <val>1</val>
          </value>
        </values>
      </ddeItem>
      <ddeItem name="QIA.EQ;bid" advise="1">
        <values>
          <value t="nil">
            <val>1</val>
          </value>
        </values>
      </ddeItem>
      <ddeItem name="QIA.EQ;currency" advise="1">
        <values>
          <value t="nil">
            <val>1</val>
          </value>
        </values>
      </ddeItem>
      <ddeItem name="QIA.EQ;description" advise="1">
        <values>
          <value t="nil">
            <val>1</val>
          </value>
        </values>
      </ddeItem>
      <ddeItem name="QIA.EQ;high" advise="1">
        <values>
          <value t="nil">
            <val>1</val>
          </value>
        </values>
      </ddeItem>
      <ddeItem name="QIA.EQ;instr" advise="1">
        <values>
          <value t="nil">
            <val>1</val>
          </value>
        </values>
      </ddeItem>
      <ddeItem name="QIA.EQ;isin" advise="1">
        <values>
          <value t="nil">
            <val>1</val>
          </value>
        </values>
      </ddeItem>
      <ddeItem name="QIA.EQ;last" advise="1">
        <values>
          <value t="nil">
            <val>1</val>
          </value>
        </values>
      </ddeItem>
      <ddeItem name="QIA.EQ;low" advise="1">
        <values>
          <value t="nil">
            <val>1</val>
          </value>
        </values>
      </ddeItem>
      <ddeItem name="QIA.EQ;market" advise="1">
        <values>
          <value t="nil">
            <val>1</val>
          </value>
        </values>
      </ddeItem>
      <ddeItem name="QIA.EQ;open" advise="1">
        <values>
          <value t="nil">
            <val>1</val>
          </value>
        </values>
      </ddeItem>
      <ddeItem name="QIA.EQ;timestamp" advise="1">
        <values>
          <value t="nil">
            <val>1</val>
          </value>
        </values>
      </ddeItem>
      <ddeItem name="QIA.EQ;var_%" advise="1">
        <values>
          <value t="nil">
            <val>1</val>
          </value>
        </values>
      </ddeItem>
      <ddeItem name="QIA.EQ;volume" advise="1">
        <values>
          <value t="nil">
            <val>1</val>
          </value>
        </values>
      </ddeItem>
      <ddeItem name="RHM.EQ;7" advise="1">
        <values>
          <value t="nil">
            <val>1</val>
          </value>
        </values>
      </ddeItem>
      <ddeItem name="RHM.EQ;ask" advise="1">
        <values>
          <value t="nil">
            <val>1</val>
          </value>
        </values>
      </ddeItem>
      <ddeItem name="RHM.EQ;bid" advise="1">
        <values>
          <value t="nil">
            <val>1</val>
          </value>
        </values>
      </ddeItem>
      <ddeItem name="RHM.EQ;currency" advise="1">
        <values>
          <value t="nil">
            <val>1</val>
          </value>
        </values>
      </ddeItem>
      <ddeItem name="RHM.EQ;description" advise="1">
        <values>
          <value t="nil">
            <val>1</val>
          </value>
        </values>
      </ddeItem>
      <ddeItem name="RHM.EQ;high" advise="1">
        <values>
          <value t="nil">
            <val>1</val>
          </value>
        </values>
      </ddeItem>
      <ddeItem name="RHM.EQ;instr" advise="1">
        <values>
          <value t="nil">
            <val>1</val>
          </value>
        </values>
      </ddeItem>
      <ddeItem name="RHM.EQ;isin" advise="1">
        <values>
          <value t="nil">
            <val>1</val>
          </value>
        </values>
      </ddeItem>
      <ddeItem name="RHM.EQ;last" advise="1">
        <values>
          <value t="nil">
            <val>1</val>
          </value>
        </values>
      </ddeItem>
      <ddeItem name="RHM.EQ;low" advise="1">
        <values>
          <value t="nil">
            <val>1</val>
          </value>
        </values>
      </ddeItem>
      <ddeItem name="RHM.EQ;market" advise="1">
        <values>
          <value t="nil">
            <val>1</val>
          </value>
        </values>
      </ddeItem>
      <ddeItem name="RHM.EQ;open" advise="1">
        <values>
          <value t="nil">
            <val>1</val>
          </value>
        </values>
      </ddeItem>
      <ddeItem name="RHM.EQ;timestamp" advise="1">
        <values>
          <value t="nil">
            <val>1</val>
          </value>
        </values>
      </ddeItem>
      <ddeItem name="RHM.EQ;var_%" advise="1">
        <values>
          <value t="nil">
            <val>1</val>
          </value>
        </values>
      </ddeItem>
      <ddeItem name="RHM.EQ;volume" advise="1">
        <values>
          <value t="nil">
            <val>1</val>
          </value>
        </values>
      </ddeItem>
      <ddeItem name="RWE.EQ;7" advise="1">
        <values>
          <value t="nil">
            <val>1</val>
          </value>
        </values>
      </ddeItem>
      <ddeItem name="RWE.EQ;ask" advise="1">
        <values>
          <value t="nil">
            <val>1</val>
          </value>
        </values>
      </ddeItem>
      <ddeItem name="RWE.EQ;bid" advise="1">
        <values>
          <value t="nil">
            <val>1</val>
          </value>
        </values>
      </ddeItem>
      <ddeItem name="RWE.EQ;currency" advise="1">
        <values>
          <value t="nil">
            <val>1</val>
          </value>
        </values>
      </ddeItem>
      <ddeItem name="RWE.EQ;description" advise="1">
        <values>
          <value t="nil">
            <val>1</val>
          </value>
        </values>
      </ddeItem>
      <ddeItem name="RWE.EQ;high" advise="1">
        <values>
          <value t="nil">
            <val>1</val>
          </value>
        </values>
      </ddeItem>
      <ddeItem name="RWE.EQ;instr" advise="1">
        <values>
          <value t="nil">
            <val>1</val>
          </value>
        </values>
      </ddeItem>
      <ddeItem name="RWE.EQ;isin" advise="1">
        <values>
          <value t="nil">
            <val>1</val>
          </value>
        </values>
      </ddeItem>
      <ddeItem name="RWE.EQ;last" advise="1">
        <values>
          <value t="nil">
            <val>1</val>
          </value>
        </values>
      </ddeItem>
      <ddeItem name="RWE.EQ;low" advise="1">
        <values>
          <value t="nil">
            <val>1</val>
          </value>
        </values>
      </ddeItem>
      <ddeItem name="RWE.EQ;market" advise="1">
        <values>
          <value t="nil">
            <val>1</val>
          </value>
        </values>
      </ddeItem>
      <ddeItem name="RWE.EQ;open" advise="1">
        <values>
          <value t="nil">
            <val>1</val>
          </value>
        </values>
      </ddeItem>
      <ddeItem name="RWE.EQ;timestamp" advise="1">
        <values>
          <value t="nil">
            <val>1</val>
          </value>
        </values>
      </ddeItem>
      <ddeItem name="RWE.EQ;var_%" advise="1">
        <values>
          <value t="nil">
            <val>1</val>
          </value>
        </values>
      </ddeItem>
      <ddeItem name="RWE.EQ;volume" advise="1">
        <values>
          <value t="nil">
            <val>1</val>
          </value>
        </values>
      </ddeItem>
      <ddeItem name="SAP.EQ;7" advise="1">
        <values>
          <value t="nil">
            <val>1</val>
          </value>
        </values>
      </ddeItem>
      <ddeItem name="SAP.EQ;ask" advise="1">
        <values>
          <value t="nil">
            <val>1</val>
          </value>
        </values>
      </ddeItem>
      <ddeItem name="SAP.EQ;bid" advise="1">
        <values>
          <value t="nil">
            <val>1</val>
          </value>
        </values>
      </ddeItem>
      <ddeItem name="SAP.EQ;currency" advise="1">
        <values>
          <value t="nil">
            <val>1</val>
          </value>
        </values>
      </ddeItem>
      <ddeItem name="SAP.EQ;description" advise="1">
        <values>
          <value t="nil">
            <val>1</val>
          </value>
        </values>
      </ddeItem>
      <ddeItem name="SAP.EQ;high" advise="1">
        <values>
          <value t="nil">
            <val>1</val>
          </value>
        </values>
      </ddeItem>
      <ddeItem name="SAP.EQ;instr" advise="1">
        <values>
          <value t="nil">
            <val>1</val>
          </value>
        </values>
      </ddeItem>
      <ddeItem name="SAP.EQ;isin" advise="1">
        <values>
          <value t="nil">
            <val>1</val>
          </value>
        </values>
      </ddeItem>
      <ddeItem name="SAP.EQ;last" advise="1">
        <values>
          <value t="nil">
            <val>1</val>
          </value>
        </values>
      </ddeItem>
      <ddeItem name="SAP.EQ;low" advise="1">
        <values>
          <value t="nil">
            <val>1</val>
          </value>
        </values>
      </ddeItem>
      <ddeItem name="SAP.EQ;market" advise="1">
        <values>
          <value t="nil">
            <val>1</val>
          </value>
        </values>
      </ddeItem>
      <ddeItem name="SAP.EQ;open" advise="1">
        <values>
          <value t="nil">
            <val>1</val>
          </value>
        </values>
      </ddeItem>
      <ddeItem name="SAP.EQ;timestamp" advise="1">
        <values>
          <value t="nil">
            <val>1</val>
          </value>
        </values>
      </ddeItem>
      <ddeItem name="SAP.EQ;var_%" advise="1">
        <values>
          <value t="nil">
            <val>1</val>
          </value>
        </values>
      </ddeItem>
      <ddeItem name="SAP.EQ;volume" advise="1">
        <values>
          <value t="nil">
            <val>1</val>
          </value>
        </values>
      </ddeItem>
      <ddeItem name="SHL.EQ;7" advise="1">
        <values>
          <value t="nil">
            <val>1</val>
          </value>
        </values>
      </ddeItem>
      <ddeItem name="SHL.EQ;ask" advise="1">
        <values>
          <value t="nil">
            <val>1</val>
          </value>
        </values>
      </ddeItem>
      <ddeItem name="SHL.EQ;bid" advise="1">
        <values>
          <value t="nil">
            <val>1</val>
          </value>
        </values>
      </ddeItem>
      <ddeItem name="SHL.EQ;currency" advise="1">
        <values>
          <value t="nil">
            <val>1</val>
          </value>
        </values>
      </ddeItem>
      <ddeItem name="SHL.EQ;description" advise="1">
        <values>
          <value t="nil">
            <val>1</val>
          </value>
        </values>
      </ddeItem>
      <ddeItem name="SHL.EQ;high" advise="1">
        <values>
          <value t="nil">
            <val>1</val>
          </value>
        </values>
      </ddeItem>
      <ddeItem name="SHL.EQ;instr" advise="1">
        <values>
          <value t="nil">
            <val>1</val>
          </value>
        </values>
      </ddeItem>
      <ddeItem name="SHL.EQ;isin" advise="1">
        <values>
          <value t="nil">
            <val>1</val>
          </value>
        </values>
      </ddeItem>
      <ddeItem name="SHL.EQ;last" advise="1">
        <values>
          <value t="nil">
            <val>1</val>
          </value>
        </values>
      </ddeItem>
      <ddeItem name="SHL.EQ;low" advise="1">
        <values>
          <value t="nil">
            <val>1</val>
          </value>
        </values>
      </ddeItem>
      <ddeItem name="SHL.EQ;market" advise="1">
        <values>
          <value t="nil">
            <val>1</val>
          </value>
        </values>
      </ddeItem>
      <ddeItem name="SHL.EQ;open" advise="1">
        <values>
          <value t="nil">
            <val>1</val>
          </value>
        </values>
      </ddeItem>
      <ddeItem name="SHL.EQ;timestamp" advise="1">
        <values>
          <value t="nil">
            <val>1</val>
          </value>
        </values>
      </ddeItem>
      <ddeItem name="SHL.EQ;var_%" advise="1">
        <values>
          <value t="nil">
            <val>1</val>
          </value>
        </values>
      </ddeItem>
      <ddeItem name="SHL.EQ;volume" advise="1">
        <values>
          <value t="nil">
            <val>1</val>
          </value>
        </values>
      </ddeItem>
      <ddeItem name="SIE.EQ;7" advise="1">
        <values>
          <value t="nil">
            <val>1</val>
          </value>
        </values>
      </ddeItem>
      <ddeItem name="SIE.EQ;ask" advise="1">
        <values>
          <value t="nil">
            <val>1</val>
          </value>
        </values>
      </ddeItem>
      <ddeItem name="SIE.EQ;bid" advise="1">
        <values>
          <value t="nil">
            <val>1</val>
          </value>
        </values>
      </ddeItem>
      <ddeItem name="SIE.EQ;currency" advise="1">
        <values>
          <value t="nil">
            <val>1</val>
          </value>
        </values>
      </ddeItem>
      <ddeItem name="SIE.EQ;description" advise="1">
        <values>
          <value t="nil">
            <val>1</val>
          </value>
        </values>
      </ddeItem>
      <ddeItem name="SIE.EQ;high" advise="1">
        <values>
          <value t="nil">
            <val>1</val>
          </value>
        </values>
      </ddeItem>
      <ddeItem name="SIE.EQ;instr" advise="1">
        <values>
          <value t="nil">
            <val>1</val>
          </value>
        </values>
      </ddeItem>
      <ddeItem name="SIE.EQ;isin" advise="1">
        <values>
          <value t="nil">
            <val>1</val>
          </value>
        </values>
      </ddeItem>
      <ddeItem name="SIE.EQ;last" advise="1">
        <values>
          <value t="nil">
            <val>1</val>
          </value>
        </values>
      </ddeItem>
      <ddeItem name="SIE.EQ;low" advise="1">
        <values>
          <value t="nil">
            <val>1</val>
          </value>
        </values>
      </ddeItem>
      <ddeItem name="SIE.EQ;market" advise="1">
        <values>
          <value t="nil">
            <val>1</val>
          </value>
        </values>
      </ddeItem>
      <ddeItem name="SIE.EQ;open" advise="1">
        <values>
          <value t="nil">
            <val>1</val>
          </value>
        </values>
      </ddeItem>
      <ddeItem name="SIE.EQ;timestamp" advise="1">
        <values>
          <value t="nil">
            <val>1</val>
          </value>
        </values>
      </ddeItem>
      <ddeItem name="SIE.EQ;var_%" advise="1">
        <values>
          <value t="nil">
            <val>1</val>
          </value>
        </values>
      </ddeItem>
      <ddeItem name="SIE.EQ;volume" advise="1">
        <values>
          <value t="nil">
            <val>1</val>
          </value>
        </values>
      </ddeItem>
      <ddeItem name="StdDocumentName" ole="1" advise="1"/>
      <ddeItem name="SY1.EQ;7" advise="1">
        <values>
          <value t="nil">
            <val>1</val>
          </value>
        </values>
      </ddeItem>
      <ddeItem name="SY1.EQ;ask" advise="1">
        <values>
          <value t="nil">
            <val>1</val>
          </value>
        </values>
      </ddeItem>
      <ddeItem name="SY1.EQ;bid" advise="1">
        <values>
          <value t="nil">
            <val>1</val>
          </value>
        </values>
      </ddeItem>
      <ddeItem name="SY1.EQ;currency" advise="1">
        <values>
          <value t="nil">
            <val>1</val>
          </value>
        </values>
      </ddeItem>
      <ddeItem name="SY1.EQ;description" advise="1">
        <values>
          <value t="nil">
            <val>1</val>
          </value>
        </values>
      </ddeItem>
      <ddeItem name="SY1.EQ;high" advise="1">
        <values>
          <value t="nil">
            <val>1</val>
          </value>
        </values>
      </ddeItem>
      <ddeItem name="SY1.EQ;instr" advise="1">
        <values>
          <value t="nil">
            <val>1</val>
          </value>
        </values>
      </ddeItem>
      <ddeItem name="SY1.EQ;isin" advise="1">
        <values>
          <value t="nil">
            <val>1</val>
          </value>
        </values>
      </ddeItem>
      <ddeItem name="SY1.EQ;last" advise="1">
        <values>
          <value t="nil">
            <val>1</val>
          </value>
        </values>
      </ddeItem>
      <ddeItem name="SY1.EQ;low" advise="1">
        <values>
          <value t="nil">
            <val>1</val>
          </value>
        </values>
      </ddeItem>
      <ddeItem name="SY1.EQ;market" advise="1">
        <values>
          <value t="nil">
            <val>1</val>
          </value>
        </values>
      </ddeItem>
      <ddeItem name="SY1.EQ;open" advise="1">
        <values>
          <value t="nil">
            <val>1</val>
          </value>
        </values>
      </ddeItem>
      <ddeItem name="SY1.EQ;timestamp" advise="1">
        <values>
          <value t="nil">
            <val>1</val>
          </value>
        </values>
      </ddeItem>
      <ddeItem name="SY1.EQ;var_%" advise="1">
        <values>
          <value t="nil">
            <val>1</val>
          </value>
        </values>
      </ddeItem>
      <ddeItem name="SY1.EQ;volume" advise="1">
        <values>
          <value t="nil">
            <val>1</val>
          </value>
        </values>
      </ddeItem>
      <ddeItem name="VNA.EQ;7" advise="1">
        <values>
          <value t="nil">
            <val>1</val>
          </value>
        </values>
      </ddeItem>
      <ddeItem name="VNA.EQ;ask" advise="1">
        <values>
          <value t="nil">
            <val>1</val>
          </value>
        </values>
      </ddeItem>
      <ddeItem name="VNA.EQ;bid" advise="1">
        <values>
          <value t="nil">
            <val>1</val>
          </value>
        </values>
      </ddeItem>
      <ddeItem name="VNA.EQ;currency" advise="1">
        <values>
          <value t="nil">
            <val>1</val>
          </value>
        </values>
      </ddeItem>
      <ddeItem name="VNA.EQ;description" advise="1">
        <values>
          <value t="nil">
            <val>1</val>
          </value>
        </values>
      </ddeItem>
      <ddeItem name="VNA.EQ;high" advise="1">
        <values>
          <value t="nil">
            <val>1</val>
          </value>
        </values>
      </ddeItem>
      <ddeItem name="VNA.EQ;instr" advise="1">
        <values>
          <value t="nil">
            <val>1</val>
          </value>
        </values>
      </ddeItem>
      <ddeItem name="VNA.EQ;isin" advise="1">
        <values>
          <value t="nil">
            <val>1</val>
          </value>
        </values>
      </ddeItem>
      <ddeItem name="VNA.EQ;last" advise="1">
        <values>
          <value t="nil">
            <val>1</val>
          </value>
        </values>
      </ddeItem>
      <ddeItem name="VNA.EQ;low" advise="1">
        <values>
          <value t="nil">
            <val>1</val>
          </value>
        </values>
      </ddeItem>
      <ddeItem name="VNA.EQ;market" advise="1">
        <values>
          <value t="nil">
            <val>1</val>
          </value>
        </values>
      </ddeItem>
      <ddeItem name="VNA.EQ;open" advise="1">
        <values>
          <value t="nil">
            <val>1</val>
          </value>
        </values>
      </ddeItem>
      <ddeItem name="VNA.EQ;timestamp" advise="1">
        <values>
          <value t="nil">
            <val>1</val>
          </value>
        </values>
      </ddeItem>
      <ddeItem name="VNA.EQ;var_%" advise="1">
        <values>
          <value t="nil">
            <val>1</val>
          </value>
        </values>
      </ddeItem>
      <ddeItem name="VNA.EQ;volume" advise="1">
        <values>
          <value t="nil">
            <val>1</val>
          </value>
        </values>
      </ddeItem>
      <ddeItem name="VOW3.EQ;7" advise="1">
        <values>
          <value t="nil">
            <val>1</val>
          </value>
        </values>
      </ddeItem>
      <ddeItem name="VOW3.EQ;ask" advise="1">
        <values>
          <value t="nil">
            <val>1</val>
          </value>
        </values>
      </ddeItem>
      <ddeItem name="VOW3.EQ;bid" advise="1">
        <values>
          <value t="nil">
            <val>1</val>
          </value>
        </values>
      </ddeItem>
      <ddeItem name="VOW3.EQ;currency" advise="1">
        <values>
          <value t="nil">
            <val>1</val>
          </value>
        </values>
      </ddeItem>
      <ddeItem name="VOW3.EQ;description" advise="1">
        <values>
          <value t="nil">
            <val>1</val>
          </value>
        </values>
      </ddeItem>
      <ddeItem name="VOW3.EQ;high" advise="1">
        <values>
          <value t="nil">
            <val>1</val>
          </value>
        </values>
      </ddeItem>
      <ddeItem name="VOW3.EQ;instr" advise="1">
        <values>
          <value t="nil">
            <val>1</val>
          </value>
        </values>
      </ddeItem>
      <ddeItem name="VOW3.EQ;isin" advise="1">
        <values>
          <value t="nil">
            <val>1</val>
          </value>
        </values>
      </ddeItem>
      <ddeItem name="VOW3.EQ;last" advise="1">
        <values>
          <value t="nil">
            <val>1</val>
          </value>
        </values>
      </ddeItem>
      <ddeItem name="VOW3.EQ;low" advise="1">
        <values>
          <value t="nil">
            <val>1</val>
          </value>
        </values>
      </ddeItem>
      <ddeItem name="VOW3.EQ;market" advise="1">
        <values>
          <value t="nil">
            <val>1</val>
          </value>
        </values>
      </ddeItem>
      <ddeItem name="VOW3.EQ;open" advise="1">
        <values>
          <value t="nil">
            <val>1</val>
          </value>
        </values>
      </ddeItem>
      <ddeItem name="VOW3.EQ;timestamp" advise="1">
        <values>
          <value t="nil">
            <val>1</val>
          </value>
        </values>
      </ddeItem>
      <ddeItem name="VOW3.EQ;var_%" advise="1">
        <values>
          <value t="nil">
            <val>1</val>
          </value>
        </values>
      </ddeItem>
      <ddeItem name="VOW3.EQ;volume" advise="1">
        <values>
          <value t="nil">
            <val>1</val>
          </value>
        </values>
      </ddeItem>
      <ddeItem name="ZAL.EQ;7" advise="1">
        <values>
          <value t="nil">
            <val>1</val>
          </value>
        </values>
      </ddeItem>
      <ddeItem name="ZAL.EQ;ask" advise="1">
        <values>
          <value t="nil">
            <val>1</val>
          </value>
        </values>
      </ddeItem>
      <ddeItem name="ZAL.EQ;bid" advise="1">
        <values>
          <value t="nil">
            <val>1</val>
          </value>
        </values>
      </ddeItem>
      <ddeItem name="ZAL.EQ;currency" advise="1">
        <values>
          <value t="nil">
            <val>1</val>
          </value>
        </values>
      </ddeItem>
      <ddeItem name="ZAL.EQ;description" advise="1">
        <values>
          <value t="nil">
            <val>1</val>
          </value>
        </values>
      </ddeItem>
      <ddeItem name="ZAL.EQ;high" advise="1">
        <values>
          <value t="nil">
            <val>1</val>
          </value>
        </values>
      </ddeItem>
      <ddeItem name="ZAL.EQ;instr" advise="1">
        <values>
          <value t="nil">
            <val>1</val>
          </value>
        </values>
      </ddeItem>
      <ddeItem name="ZAL.EQ;isin" advise="1">
        <values>
          <value t="nil">
            <val>1</val>
          </value>
        </values>
      </ddeItem>
      <ddeItem name="ZAL.EQ;last" advise="1">
        <values>
          <value t="nil">
            <val>1</val>
          </value>
        </values>
      </ddeItem>
      <ddeItem name="ZAL.EQ;low" advise="1">
        <values>
          <value t="nil">
            <val>1</val>
          </value>
        </values>
      </ddeItem>
      <ddeItem name="ZAL.EQ;market" advise="1">
        <values>
          <value t="nil">
            <val>1</val>
          </value>
        </values>
      </ddeItem>
      <ddeItem name="ZAL.EQ;open" advise="1">
        <values>
          <value t="nil">
            <val>1</val>
          </value>
        </values>
      </ddeItem>
      <ddeItem name="ZAL.EQ;timestamp" advise="1">
        <values>
          <value t="nil">
            <val>1</val>
          </value>
        </values>
      </ddeItem>
      <ddeItem name="ZAL.EQ;var_%" advise="1">
        <values>
          <value t="nil">
            <val>1</val>
          </value>
        </values>
      </ddeItem>
      <ddeItem name="ZAL.EQ;volume" advise="1">
        <values>
          <value t="nil">
            <val>1</val>
          </value>
        </values>
      </ddeItem>
    </ddeItems>
  </dd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39D6-775A-447D-8B85-1C4A1E6131E8}">
  <dimension ref="A1:O41"/>
  <sheetViews>
    <sheetView tabSelected="1" workbookViewId="0">
      <selection activeCell="N51" sqref="N51"/>
    </sheetView>
  </sheetViews>
  <sheetFormatPr defaultRowHeight="14.4" x14ac:dyDescent="0.3"/>
  <sheetData>
    <row r="1" spans="1:15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f>[1]!'ADS.EQ;description'</f>
        <v>0</v>
      </c>
      <c r="B2" s="2">
        <f>[1]!'ADS.EQ;last'</f>
        <v>0</v>
      </c>
      <c r="C2" s="2">
        <f>[1]!'ADS.EQ;var_%'</f>
        <v>0</v>
      </c>
      <c r="D2" s="2">
        <f>[1]!'ADS.EQ;7'</f>
        <v>0</v>
      </c>
      <c r="E2" s="2">
        <f>[1]!'ADS.EQ;bid'</f>
        <v>0</v>
      </c>
      <c r="F2" s="2">
        <f>[1]!'ADS.EQ;ask'</f>
        <v>0</v>
      </c>
      <c r="G2" s="2">
        <f>[1]!'ADS.EQ;low'</f>
        <v>0</v>
      </c>
      <c r="H2" s="2">
        <f>[1]!'ADS.EQ;high'</f>
        <v>0</v>
      </c>
      <c r="I2" s="2">
        <f>[1]!'ADS.EQ;open'</f>
        <v>0</v>
      </c>
      <c r="J2" s="2">
        <f>[1]!'ADS.EQ;volume'</f>
        <v>0</v>
      </c>
      <c r="K2" s="2">
        <f>[1]!'ADS.EQ;market'</f>
        <v>0</v>
      </c>
      <c r="L2" s="3">
        <f>[1]!'ADS.EQ;timestamp'</f>
        <v>0</v>
      </c>
      <c r="M2" s="2">
        <f>[1]!'ADS.EQ;instr'</f>
        <v>0</v>
      </c>
      <c r="N2" s="2" cm="1">
        <f t="array" ref="N2">[1]!'ADS.EQ;currency'</f>
        <v>0</v>
      </c>
      <c r="O2" s="2">
        <f>[1]!'ADS.EQ;isin'</f>
        <v>0</v>
      </c>
    </row>
    <row r="3" spans="1:15" x14ac:dyDescent="0.3">
      <c r="A3" s="4">
        <f>[1]!'AIR.FRA;description'</f>
        <v>0</v>
      </c>
      <c r="B3" s="4">
        <f>[1]!'AIR.FRA;last'</f>
        <v>0</v>
      </c>
      <c r="C3" s="4">
        <f>[1]!'AIR.FRA;var_%'</f>
        <v>0</v>
      </c>
      <c r="D3" s="4">
        <f>[1]!'AIR.FRA;7'</f>
        <v>0</v>
      </c>
      <c r="E3" s="4">
        <f>[1]!'AIR.FRA;bid'</f>
        <v>0</v>
      </c>
      <c r="F3" s="4">
        <f>[1]!'AIR.FRA;ask'</f>
        <v>0</v>
      </c>
      <c r="G3" s="4">
        <f>[1]!'AIR.FRA;low'</f>
        <v>0</v>
      </c>
      <c r="H3" s="4">
        <f>[1]!'AIR.FRA;high'</f>
        <v>0</v>
      </c>
      <c r="I3" s="4">
        <f>[1]!'AIR.FRA;open'</f>
        <v>0</v>
      </c>
      <c r="J3" s="4">
        <f>[1]!'AIR.FRA;volume'</f>
        <v>0</v>
      </c>
      <c r="K3" s="4">
        <f>[1]!'AIR.FRA;market'</f>
        <v>0</v>
      </c>
      <c r="L3" s="5">
        <f>[1]!'AIR.FRA;timestamp'</f>
        <v>0</v>
      </c>
      <c r="M3" s="4">
        <f>[1]!'AIR.FRA;instr'</f>
        <v>0</v>
      </c>
      <c r="N3" s="4">
        <f>[1]!'AIR.FRA;currency'</f>
        <v>0</v>
      </c>
      <c r="O3" s="4">
        <f>[1]!'AIR.FRA;isin'</f>
        <v>0</v>
      </c>
    </row>
    <row r="4" spans="1:15" x14ac:dyDescent="0.3">
      <c r="A4" s="2">
        <f>[1]!'ALV.EQ;description'</f>
        <v>0</v>
      </c>
      <c r="B4" s="2">
        <f>[1]!'ALV.EQ;last'</f>
        <v>0</v>
      </c>
      <c r="C4" s="2">
        <f>[1]!'ALV.EQ;var_%'</f>
        <v>0</v>
      </c>
      <c r="D4" s="2">
        <f>[1]!'ALV.EQ;7'</f>
        <v>0</v>
      </c>
      <c r="E4" s="2">
        <f>[1]!'ALV.EQ;bid'</f>
        <v>0</v>
      </c>
      <c r="F4" s="2">
        <f>[1]!'ALV.EQ;ask'</f>
        <v>0</v>
      </c>
      <c r="G4" s="2">
        <f>[1]!'ALV.EQ;low'</f>
        <v>0</v>
      </c>
      <c r="H4" s="2">
        <f>[1]!'ALV.EQ;high'</f>
        <v>0</v>
      </c>
      <c r="I4" s="2">
        <f>[1]!'ALV.EQ;open'</f>
        <v>0</v>
      </c>
      <c r="J4" s="2">
        <f>[1]!'ALV.EQ;volume'</f>
        <v>0</v>
      </c>
      <c r="K4" s="2">
        <f>[1]!'ALV.EQ;market'</f>
        <v>0</v>
      </c>
      <c r="L4" s="3">
        <f>[1]!'ALV.EQ;timestamp'</f>
        <v>0</v>
      </c>
      <c r="M4" s="2">
        <f>[1]!'ALV.EQ;instr'</f>
        <v>0</v>
      </c>
      <c r="N4" s="2">
        <f>[1]!'ALV.EQ;currency'</f>
        <v>0</v>
      </c>
      <c r="O4" s="2">
        <f>[1]!'ALV.EQ;isin'</f>
        <v>0</v>
      </c>
    </row>
    <row r="5" spans="1:15" x14ac:dyDescent="0.3">
      <c r="A5" s="4">
        <f>[1]!'BAS.EQ;description'</f>
        <v>0</v>
      </c>
      <c r="B5" s="4">
        <f>[1]!'BAS.EQ;last'</f>
        <v>0</v>
      </c>
      <c r="C5" s="4">
        <f>[1]!'BAS.EQ;var_%'</f>
        <v>0</v>
      </c>
      <c r="D5" s="4">
        <f>[1]!'BAS.EQ;7'</f>
        <v>0</v>
      </c>
      <c r="E5" s="4">
        <f>[1]!'BAS.EQ;bid'</f>
        <v>0</v>
      </c>
      <c r="F5" s="4">
        <f>[1]!'BAS.EQ;ask'</f>
        <v>0</v>
      </c>
      <c r="G5" s="4">
        <f>[1]!'BAS.EQ;low'</f>
        <v>0</v>
      </c>
      <c r="H5" s="4">
        <f>[1]!'BAS.EQ;high'</f>
        <v>0</v>
      </c>
      <c r="I5" s="4">
        <f>[1]!'BAS.EQ;open'</f>
        <v>0</v>
      </c>
      <c r="J5" s="4">
        <f>[1]!'BAS.EQ;volume'</f>
        <v>0</v>
      </c>
      <c r="K5" s="4">
        <f>[1]!'BAS.EQ;market'</f>
        <v>0</v>
      </c>
      <c r="L5" s="5">
        <f>[1]!'BAS.EQ;timestamp'</f>
        <v>0</v>
      </c>
      <c r="M5" s="4">
        <f>[1]!'BAS.EQ;instr'</f>
        <v>0</v>
      </c>
      <c r="N5" s="4">
        <f>[1]!'BAS.EQ;currency'</f>
        <v>0</v>
      </c>
      <c r="O5" s="4">
        <f>[1]!'BAS.EQ;isin'</f>
        <v>0</v>
      </c>
    </row>
    <row r="6" spans="1:15" x14ac:dyDescent="0.3">
      <c r="A6" s="2">
        <f>[1]!'BAYN.EQ;description'</f>
        <v>0</v>
      </c>
      <c r="B6" s="2">
        <f>[1]!'BAYN.EQ;last'</f>
        <v>0</v>
      </c>
      <c r="C6" s="2">
        <f>[1]!'BAYN.EQ;var_%'</f>
        <v>0</v>
      </c>
      <c r="D6" s="2">
        <f>[1]!'BAYN.EQ;7'</f>
        <v>0</v>
      </c>
      <c r="E6" s="2">
        <f>[1]!'BAYN.EQ;bid'</f>
        <v>0</v>
      </c>
      <c r="F6" s="2">
        <f>[1]!'BAYN.EQ;ask'</f>
        <v>0</v>
      </c>
      <c r="G6" s="2">
        <f>[1]!'BAYN.EQ;low'</f>
        <v>0</v>
      </c>
      <c r="H6" s="2">
        <f>[1]!'BAYN.EQ;high'</f>
        <v>0</v>
      </c>
      <c r="I6" s="2">
        <f>[1]!'BAYN.EQ;open'</f>
        <v>0</v>
      </c>
      <c r="J6" s="2">
        <f>[1]!'BAYN.EQ;volume'</f>
        <v>0</v>
      </c>
      <c r="K6" s="2">
        <f>[1]!'BAYN.EQ;market'</f>
        <v>0</v>
      </c>
      <c r="L6" s="3">
        <f>[1]!'BAYN.EQ;timestamp'</f>
        <v>0</v>
      </c>
      <c r="M6" s="2">
        <f>[1]!'BAYN.EQ;instr'</f>
        <v>0</v>
      </c>
      <c r="N6" s="2">
        <f>[1]!'BAYN.EQ;currency'</f>
        <v>0</v>
      </c>
      <c r="O6" s="2">
        <f>[1]!'BAYN.EQ;isin'</f>
        <v>0</v>
      </c>
    </row>
    <row r="7" spans="1:15" x14ac:dyDescent="0.3">
      <c r="A7" s="4">
        <f>[1]!'BEI.EQ;description'</f>
        <v>0</v>
      </c>
      <c r="B7" s="4">
        <f>[1]!'BEI.EQ;last'</f>
        <v>0</v>
      </c>
      <c r="C7" s="4">
        <f>[1]!'BEI.EQ;var_%'</f>
        <v>0</v>
      </c>
      <c r="D7" s="4">
        <f>[1]!'BEI.EQ;7'</f>
        <v>0</v>
      </c>
      <c r="E7" s="4">
        <f>[1]!'BEI.EQ;bid'</f>
        <v>0</v>
      </c>
      <c r="F7" s="4">
        <f>[1]!'BEI.EQ;ask'</f>
        <v>0</v>
      </c>
      <c r="G7" s="4">
        <f>[1]!'BEI.EQ;low'</f>
        <v>0</v>
      </c>
      <c r="H7" s="4">
        <f>[1]!'BEI.EQ;high'</f>
        <v>0</v>
      </c>
      <c r="I7" s="4">
        <f>[1]!'BEI.EQ;open'</f>
        <v>0</v>
      </c>
      <c r="J7" s="4">
        <f>[1]!'BEI.EQ;volume'</f>
        <v>0</v>
      </c>
      <c r="K7" s="4">
        <f>[1]!'BEI.EQ;market'</f>
        <v>0</v>
      </c>
      <c r="L7" s="5">
        <f>[1]!'BEI.EQ;timestamp'</f>
        <v>0</v>
      </c>
      <c r="M7" s="4">
        <f>[1]!'BEI.EQ;instr'</f>
        <v>0</v>
      </c>
      <c r="N7" s="4">
        <f>[1]!'BEI.EQ;currency'</f>
        <v>0</v>
      </c>
      <c r="O7" s="4">
        <f>[1]!'BEI.EQ;isin'</f>
        <v>0</v>
      </c>
    </row>
    <row r="8" spans="1:15" x14ac:dyDescent="0.3">
      <c r="A8" s="2">
        <f>[1]!'BMW.EQ;description'</f>
        <v>0</v>
      </c>
      <c r="B8" s="2">
        <f>[1]!'BMW.EQ;last'</f>
        <v>0</v>
      </c>
      <c r="C8" s="2">
        <f>[1]!'BMW.EQ;var_%'</f>
        <v>0</v>
      </c>
      <c r="D8" s="2">
        <f>[1]!'BMW.EQ;7'</f>
        <v>0</v>
      </c>
      <c r="E8" s="2">
        <f>[1]!'BMW.EQ;bid'</f>
        <v>0</v>
      </c>
      <c r="F8" s="2">
        <f>[1]!'BMW.EQ;ask'</f>
        <v>0</v>
      </c>
      <c r="G8" s="2">
        <f>[1]!'BMW.EQ;low'</f>
        <v>0</v>
      </c>
      <c r="H8" s="2">
        <f>[1]!'BMW.EQ;high'</f>
        <v>0</v>
      </c>
      <c r="I8" s="2">
        <f>[1]!'BMW.EQ;open'</f>
        <v>0</v>
      </c>
      <c r="J8" s="2">
        <f>[1]!'BMW.EQ;volume'</f>
        <v>0</v>
      </c>
      <c r="K8" s="2">
        <f>[1]!'BMW.EQ;market'</f>
        <v>0</v>
      </c>
      <c r="L8" s="3">
        <f>[1]!'BMW.EQ;timestamp'</f>
        <v>0</v>
      </c>
      <c r="M8" s="2">
        <f>[1]!'BMW.EQ;instr'</f>
        <v>0</v>
      </c>
      <c r="N8" s="2">
        <f>[1]!'BMW.EQ;currency'</f>
        <v>0</v>
      </c>
      <c r="O8" s="2">
        <f>[1]!'BMW.EQ;isin'</f>
        <v>0</v>
      </c>
    </row>
    <row r="9" spans="1:15" x14ac:dyDescent="0.3">
      <c r="A9" s="4">
        <f>[1]!'BNR.EQ;description'</f>
        <v>0</v>
      </c>
      <c r="B9" s="4">
        <f>[1]!'BNR.EQ;last'</f>
        <v>0</v>
      </c>
      <c r="C9" s="4">
        <f>[1]!'BNR.EQ;var_%'</f>
        <v>0</v>
      </c>
      <c r="D9" s="4">
        <f>[1]!'BNR.EQ;7'</f>
        <v>0</v>
      </c>
      <c r="E9" s="4">
        <f>[1]!'BNR.EQ;bid'</f>
        <v>0</v>
      </c>
      <c r="F9" s="4">
        <f>[1]!'BNR.EQ;ask'</f>
        <v>0</v>
      </c>
      <c r="G9" s="4">
        <f>[1]!'BNR.EQ;low'</f>
        <v>0</v>
      </c>
      <c r="H9" s="4">
        <f>[1]!'BNR.EQ;high'</f>
        <v>0</v>
      </c>
      <c r="I9" s="4">
        <f>[1]!'BNR.EQ;open'</f>
        <v>0</v>
      </c>
      <c r="J9" s="4">
        <f>[1]!'BNR.EQ;volume'</f>
        <v>0</v>
      </c>
      <c r="K9" s="4">
        <f>[1]!'BNR.EQ;market'</f>
        <v>0</v>
      </c>
      <c r="L9" s="5">
        <f>[1]!'BNR.EQ;timestamp'</f>
        <v>0</v>
      </c>
      <c r="M9" s="4">
        <f>[1]!'BNR.EQ;instr'</f>
        <v>0</v>
      </c>
      <c r="N9" s="4">
        <f>[1]!'BNR.EQ;currency'</f>
        <v>0</v>
      </c>
      <c r="O9" s="4">
        <f>[1]!'BNR.EQ;isin'</f>
        <v>0</v>
      </c>
    </row>
    <row r="10" spans="1:15" x14ac:dyDescent="0.3">
      <c r="A10" s="2">
        <f>[1]!'CBK.EQ;description'</f>
        <v>0</v>
      </c>
      <c r="B10" s="2">
        <f>[1]!'CBK.EQ;last'</f>
        <v>0</v>
      </c>
      <c r="C10" s="2">
        <f>[1]!'CBK.EQ;var_%'</f>
        <v>0</v>
      </c>
      <c r="D10" s="2">
        <f>[1]!'CBK.EQ;7'</f>
        <v>0</v>
      </c>
      <c r="E10" s="2">
        <f>[1]!'CBK.EQ;bid'</f>
        <v>0</v>
      </c>
      <c r="F10" s="2">
        <f>[1]!'CBK.EQ;ask'</f>
        <v>0</v>
      </c>
      <c r="G10" s="2">
        <f>[1]!'CBK.EQ;low'</f>
        <v>0</v>
      </c>
      <c r="H10" s="2">
        <f>[1]!'CBK.EQ;high'</f>
        <v>0</v>
      </c>
      <c r="I10" s="2">
        <f>[1]!'CBK.EQ;open'</f>
        <v>0</v>
      </c>
      <c r="J10" s="2">
        <f>[1]!'CBK.EQ;volume'</f>
        <v>0</v>
      </c>
      <c r="K10" s="2">
        <f>[1]!'CBK.EQ;market'</f>
        <v>0</v>
      </c>
      <c r="L10" s="3">
        <f>[1]!'CBK.EQ;timestamp'</f>
        <v>0</v>
      </c>
      <c r="M10" s="2">
        <f>[1]!'CBK.EQ;instr'</f>
        <v>0</v>
      </c>
      <c r="N10" s="2">
        <f>[1]!'CBK.EQ;currency'</f>
        <v>0</v>
      </c>
      <c r="O10" s="2">
        <f>[1]!'CBK.EQ;isin'</f>
        <v>0</v>
      </c>
    </row>
    <row r="11" spans="1:15" x14ac:dyDescent="0.3">
      <c r="A11" s="4">
        <f>[1]!'CON.EQ;description'</f>
        <v>0</v>
      </c>
      <c r="B11" s="4">
        <f>[1]!'CON.EQ;last'</f>
        <v>0</v>
      </c>
      <c r="C11" s="4">
        <f>[1]!'CON.EQ;var_%'</f>
        <v>0</v>
      </c>
      <c r="D11" s="4">
        <f>[1]!'CON.EQ;7'</f>
        <v>0</v>
      </c>
      <c r="E11" s="4">
        <f>[1]!'CON.EQ;bid'</f>
        <v>0</v>
      </c>
      <c r="F11" s="4">
        <f>[1]!'CON.EQ;ask'</f>
        <v>0</v>
      </c>
      <c r="G11" s="4">
        <f>[1]!'CON.EQ;low'</f>
        <v>0</v>
      </c>
      <c r="H11" s="4">
        <f>[1]!'CON.EQ;high'</f>
        <v>0</v>
      </c>
      <c r="I11" s="4">
        <f>[1]!'CON.EQ;open'</f>
        <v>0</v>
      </c>
      <c r="J11" s="4">
        <f>[1]!'CON.EQ;volume'</f>
        <v>0</v>
      </c>
      <c r="K11" s="4">
        <f>[1]!'CON.EQ;market'</f>
        <v>0</v>
      </c>
      <c r="L11" s="5">
        <f>[1]!'CON.EQ;timestamp'</f>
        <v>0</v>
      </c>
      <c r="M11" s="4">
        <f>[1]!'CON.EQ;instr'</f>
        <v>0</v>
      </c>
      <c r="N11" s="4">
        <f>[1]!'CON.EQ;currency'</f>
        <v>0</v>
      </c>
      <c r="O11" s="4">
        <f>[1]!'CON.EQ;isin'</f>
        <v>0</v>
      </c>
    </row>
    <row r="12" spans="1:15" x14ac:dyDescent="0.3">
      <c r="A12" s="2">
        <f>[1]!'DTG.EQ;description'</f>
        <v>0</v>
      </c>
      <c r="B12" s="2">
        <f>[1]!'DTG.EQ;last'</f>
        <v>0</v>
      </c>
      <c r="C12" s="2">
        <f>[1]!'DTG.EQ;var_%'</f>
        <v>0</v>
      </c>
      <c r="D12" s="2">
        <f>[1]!'DTG.EQ;7'</f>
        <v>0</v>
      </c>
      <c r="E12" s="2">
        <f>[1]!'DTG.EQ;bid'</f>
        <v>0</v>
      </c>
      <c r="F12" s="2">
        <f>[1]!'DTG.EQ;ask'</f>
        <v>0</v>
      </c>
      <c r="G12" s="2">
        <f>[1]!'DTG.EQ;low'</f>
        <v>0</v>
      </c>
      <c r="H12" s="2">
        <f>[1]!'DTG.EQ;high'</f>
        <v>0</v>
      </c>
      <c r="I12" s="2">
        <f>[1]!'DTG.EQ;open'</f>
        <v>0</v>
      </c>
      <c r="J12" s="2">
        <f>[1]!'DTG.EQ;volume'</f>
        <v>0</v>
      </c>
      <c r="K12" s="2">
        <f>[1]!'DTG.EQ;market'</f>
        <v>0</v>
      </c>
      <c r="L12" s="3">
        <f>[1]!'DTG.EQ;timestamp'</f>
        <v>0</v>
      </c>
      <c r="M12" s="2">
        <f>[1]!'DTG.EQ;instr'</f>
        <v>0</v>
      </c>
      <c r="N12" s="2">
        <f>[1]!'DTG.EQ;currency'</f>
        <v>0</v>
      </c>
      <c r="O12" s="2">
        <f>[1]!'DTG.EQ;isin'</f>
        <v>0</v>
      </c>
    </row>
    <row r="13" spans="1:15" x14ac:dyDescent="0.3">
      <c r="A13" s="4">
        <f>[1]!'DBK.EQ;description'</f>
        <v>0</v>
      </c>
      <c r="B13" s="4">
        <f>[1]!'DBK.EQ;last'</f>
        <v>0</v>
      </c>
      <c r="C13" s="4">
        <f>[1]!'DBK.EQ;var_%'</f>
        <v>0</v>
      </c>
      <c r="D13" s="4">
        <f>[1]!'DBK.EQ;7'</f>
        <v>0</v>
      </c>
      <c r="E13" s="4">
        <f>[1]!'DBK.EQ;bid'</f>
        <v>0</v>
      </c>
      <c r="F13" s="4">
        <f>[1]!'DBK.EQ;ask'</f>
        <v>0</v>
      </c>
      <c r="G13" s="4">
        <f>[1]!'DBK.EQ;low'</f>
        <v>0</v>
      </c>
      <c r="H13" s="4">
        <f>[1]!'DBK.EQ;high'</f>
        <v>0</v>
      </c>
      <c r="I13" s="4">
        <f>[1]!'DBK.EQ;open'</f>
        <v>0</v>
      </c>
      <c r="J13" s="4">
        <f>[1]!'DBK.EQ;volume'</f>
        <v>0</v>
      </c>
      <c r="K13" s="4">
        <f>[1]!'DBK.EQ;market'</f>
        <v>0</v>
      </c>
      <c r="L13" s="5">
        <f>[1]!'DBK.EQ;timestamp'</f>
        <v>0</v>
      </c>
      <c r="M13" s="4">
        <f>[1]!'DBK.EQ;instr'</f>
        <v>0</v>
      </c>
      <c r="N13" s="4">
        <f>[1]!'DBK.EQ;currency'</f>
        <v>0</v>
      </c>
      <c r="O13" s="4">
        <f>[1]!'DBK.EQ;isin'</f>
        <v>0</v>
      </c>
    </row>
    <row r="14" spans="1:15" x14ac:dyDescent="0.3">
      <c r="A14" s="2">
        <f>[1]!'DB1.EQ;description'</f>
        <v>0</v>
      </c>
      <c r="B14" s="2">
        <f>[1]!'DB1.EQ;last'</f>
        <v>0</v>
      </c>
      <c r="C14" s="2">
        <f>[1]!'DB1.EQ;var_%'</f>
        <v>0</v>
      </c>
      <c r="D14" s="2">
        <f>[1]!'DB1.EQ;7'</f>
        <v>0</v>
      </c>
      <c r="E14" s="2">
        <f>[1]!'DB1.EQ;bid'</f>
        <v>0</v>
      </c>
      <c r="F14" s="2">
        <f>[1]!'DB1.EQ;ask'</f>
        <v>0</v>
      </c>
      <c r="G14" s="2">
        <f>[1]!'DB1.EQ;low'</f>
        <v>0</v>
      </c>
      <c r="H14" s="2">
        <f>[1]!'DB1.EQ;high'</f>
        <v>0</v>
      </c>
      <c r="I14" s="2">
        <f>[1]!'DB1.EQ;open'</f>
        <v>0</v>
      </c>
      <c r="J14" s="2">
        <f>[1]!'DB1.EQ;volume'</f>
        <v>0</v>
      </c>
      <c r="K14" s="2">
        <f>[1]!'DB1.EQ;market'</f>
        <v>0</v>
      </c>
      <c r="L14" s="3">
        <f>[1]!'DB1.EQ;timestamp'</f>
        <v>0</v>
      </c>
      <c r="M14" s="2">
        <f>[1]!'DB1.EQ;instr'</f>
        <v>0</v>
      </c>
      <c r="N14" s="2">
        <f>[1]!'DB1.EQ;currency'</f>
        <v>0</v>
      </c>
      <c r="O14" s="2">
        <f>[1]!'DB1.EQ;isin'</f>
        <v>0</v>
      </c>
    </row>
    <row r="15" spans="1:15" x14ac:dyDescent="0.3">
      <c r="A15" s="4">
        <f>[1]!'DHL.EQ;description'</f>
        <v>0</v>
      </c>
      <c r="B15" s="4">
        <f>[1]!'DHL.EQ;last'</f>
        <v>0</v>
      </c>
      <c r="C15" s="4">
        <f>[1]!'DHL.EQ;var_%'</f>
        <v>0</v>
      </c>
      <c r="D15" s="4">
        <f>[1]!'DHL.EQ;7'</f>
        <v>0</v>
      </c>
      <c r="E15" s="4">
        <f>[1]!'DHL.EQ;bid'</f>
        <v>0</v>
      </c>
      <c r="F15" s="4">
        <f>[1]!'DHL.EQ;ask'</f>
        <v>0</v>
      </c>
      <c r="G15" s="4">
        <f>[1]!'DHL.EQ;low'</f>
        <v>0</v>
      </c>
      <c r="H15" s="4">
        <f>[1]!'DHL.EQ;high'</f>
        <v>0</v>
      </c>
      <c r="I15" s="4">
        <f>[1]!'DHL.EQ;open'</f>
        <v>0</v>
      </c>
      <c r="J15" s="4">
        <f>[1]!'DHL.EQ;volume'</f>
        <v>0</v>
      </c>
      <c r="K15" s="4">
        <f>[1]!'DHL.EQ;market'</f>
        <v>0</v>
      </c>
      <c r="L15" s="5">
        <f>[1]!'DHL.EQ;timestamp'</f>
        <v>0</v>
      </c>
      <c r="M15" s="4">
        <f>[1]!'DHL.EQ;instr'</f>
        <v>0</v>
      </c>
      <c r="N15" s="4">
        <f>[1]!'DHL.EQ;currency'</f>
        <v>0</v>
      </c>
      <c r="O15" s="4">
        <f>[1]!'DHL.EQ;isin'</f>
        <v>0</v>
      </c>
    </row>
    <row r="16" spans="1:15" x14ac:dyDescent="0.3">
      <c r="A16" s="2">
        <f>[1]!'DTE.EQ;description'</f>
        <v>0</v>
      </c>
      <c r="B16" s="2">
        <f>[1]!'DTE.EQ;last'</f>
        <v>0</v>
      </c>
      <c r="C16" s="2">
        <f>[1]!'DTE.EQ;var_%'</f>
        <v>0</v>
      </c>
      <c r="D16" s="2">
        <f>[1]!'DTE.EQ;7'</f>
        <v>0</v>
      </c>
      <c r="E16" s="2">
        <f>[1]!'DTE.EQ;bid'</f>
        <v>0</v>
      </c>
      <c r="F16" s="2">
        <f>[1]!'DTE.EQ;ask'</f>
        <v>0</v>
      </c>
      <c r="G16" s="2">
        <f>[1]!'DTE.EQ;low'</f>
        <v>0</v>
      </c>
      <c r="H16" s="2">
        <f>[1]!'DTE.EQ;high'</f>
        <v>0</v>
      </c>
      <c r="I16" s="2">
        <f>[1]!'DTE.EQ;open'</f>
        <v>0</v>
      </c>
      <c r="J16" s="2">
        <f>[1]!'DTE.EQ;volume'</f>
        <v>0</v>
      </c>
      <c r="K16" s="2">
        <f>[1]!'DTE.EQ;market'</f>
        <v>0</v>
      </c>
      <c r="L16" s="3">
        <f>[1]!'DTE.EQ;timestamp'</f>
        <v>0</v>
      </c>
      <c r="M16" s="2">
        <f>[1]!'DTE.EQ;instr'</f>
        <v>0</v>
      </c>
      <c r="N16" s="2">
        <f>[1]!'DTE.EQ;currency'</f>
        <v>0</v>
      </c>
      <c r="O16" s="2">
        <f>[1]!'DTE.EQ;isin'</f>
        <v>0</v>
      </c>
    </row>
    <row r="17" spans="1:15" x14ac:dyDescent="0.3">
      <c r="A17" s="4">
        <f>[1]!'EOAN.EQ;description'</f>
        <v>0</v>
      </c>
      <c r="B17" s="4">
        <f>[1]!'EOAN.EQ;last'</f>
        <v>0</v>
      </c>
      <c r="C17" s="4">
        <f>[1]!'EOAN.EQ;var_%'</f>
        <v>0</v>
      </c>
      <c r="D17" s="4">
        <f>[1]!'EOAN.EQ;7'</f>
        <v>0</v>
      </c>
      <c r="E17" s="4">
        <f>[1]!'EOAN.EQ;bid'</f>
        <v>0</v>
      </c>
      <c r="F17" s="4">
        <f>[1]!'EOAN.EQ;ask'</f>
        <v>0</v>
      </c>
      <c r="G17" s="4">
        <f>[1]!'EOAN.EQ;low'</f>
        <v>0</v>
      </c>
      <c r="H17" s="4">
        <f>[1]!'EOAN.EQ;high'</f>
        <v>0</v>
      </c>
      <c r="I17" s="4">
        <f>[1]!'EOAN.EQ;open'</f>
        <v>0</v>
      </c>
      <c r="J17" s="4">
        <f>[1]!'EOAN.EQ;volume'</f>
        <v>0</v>
      </c>
      <c r="K17" s="4">
        <f>[1]!'EOAN.EQ;market'</f>
        <v>0</v>
      </c>
      <c r="L17" s="5">
        <f>[1]!'EOAN.EQ;timestamp'</f>
        <v>0</v>
      </c>
      <c r="M17" s="4">
        <f>[1]!'EOAN.EQ;instr'</f>
        <v>0</v>
      </c>
      <c r="N17" s="4">
        <f>[1]!'EOAN.EQ;currency'</f>
        <v>0</v>
      </c>
      <c r="O17" s="4">
        <f>[1]!'EOAN.EQ;isin'</f>
        <v>0</v>
      </c>
    </row>
    <row r="18" spans="1:15" x14ac:dyDescent="0.3">
      <c r="A18" s="2">
        <f>[1]!'FRE.EQ;description'</f>
        <v>0</v>
      </c>
      <c r="B18" s="2">
        <f>[1]!'FRE.EQ;last'</f>
        <v>0</v>
      </c>
      <c r="C18" s="2">
        <f>[1]!'FRE.EQ;var_%'</f>
        <v>0</v>
      </c>
      <c r="D18" s="2">
        <f>[1]!'FRE.EQ;7'</f>
        <v>0</v>
      </c>
      <c r="E18" s="2">
        <f>[1]!'FRE.EQ;bid'</f>
        <v>0</v>
      </c>
      <c r="F18" s="2">
        <f>[1]!'FRE.EQ;ask'</f>
        <v>0</v>
      </c>
      <c r="G18" s="2">
        <f>[1]!'FRE.EQ;low'</f>
        <v>0</v>
      </c>
      <c r="H18" s="2">
        <f>[1]!'FRE.EQ;high'</f>
        <v>0</v>
      </c>
      <c r="I18" s="2">
        <f>[1]!'FRE.EQ;open'</f>
        <v>0</v>
      </c>
      <c r="J18" s="2">
        <f>[1]!'FRE.EQ;volume'</f>
        <v>0</v>
      </c>
      <c r="K18" s="2">
        <f>[1]!'FRE.EQ;market'</f>
        <v>0</v>
      </c>
      <c r="L18" s="3">
        <f>[1]!'FRE.EQ;timestamp'</f>
        <v>0</v>
      </c>
      <c r="M18" s="2">
        <f>[1]!'FRE.EQ;instr'</f>
        <v>0</v>
      </c>
      <c r="N18" s="2">
        <f>[1]!'FRE.EQ;currency'</f>
        <v>0</v>
      </c>
      <c r="O18" s="2">
        <f>[1]!'FRE.EQ;isin'</f>
        <v>0</v>
      </c>
    </row>
    <row r="19" spans="1:15" x14ac:dyDescent="0.3">
      <c r="A19" s="4">
        <f>[1]!'FME.EQ;description'</f>
        <v>0</v>
      </c>
      <c r="B19" s="4">
        <f>[1]!'FME.EQ;last'</f>
        <v>0</v>
      </c>
      <c r="C19" s="4">
        <f>[1]!'FME.EQ;var_%'</f>
        <v>0</v>
      </c>
      <c r="D19" s="4">
        <f>[1]!'FME.EQ;7'</f>
        <v>0</v>
      </c>
      <c r="E19" s="4">
        <f>[1]!'FME.EQ;bid'</f>
        <v>0</v>
      </c>
      <c r="F19" s="4">
        <f>[1]!'FME.EQ;ask'</f>
        <v>0</v>
      </c>
      <c r="G19" s="4">
        <f>[1]!'FME.EQ;low'</f>
        <v>0</v>
      </c>
      <c r="H19" s="4">
        <f>[1]!'FME.EQ;high'</f>
        <v>0</v>
      </c>
      <c r="I19" s="4">
        <f>[1]!'FME.EQ;open'</f>
        <v>0</v>
      </c>
      <c r="J19" s="4">
        <f>[1]!'FME.EQ;volume'</f>
        <v>0</v>
      </c>
      <c r="K19" s="4">
        <f>[1]!'FME.EQ;market'</f>
        <v>0</v>
      </c>
      <c r="L19" s="5">
        <f>[1]!'FME.EQ;timestamp'</f>
        <v>0</v>
      </c>
      <c r="M19" s="4">
        <f>[1]!'FME.EQ;instr'</f>
        <v>0</v>
      </c>
      <c r="N19" s="4">
        <f>[1]!'FME.EQ;currency'</f>
        <v>0</v>
      </c>
      <c r="O19" s="4">
        <f>[1]!'FME.EQ;isin'</f>
        <v>0</v>
      </c>
    </row>
    <row r="20" spans="1:15" x14ac:dyDescent="0.3">
      <c r="A20" s="2">
        <f>[1]!'G1A.EQ;description'</f>
        <v>0</v>
      </c>
      <c r="B20" s="2">
        <f>[1]!'G1A.EQ;last'</f>
        <v>0</v>
      </c>
      <c r="C20" s="2">
        <f>[1]!'G1A.EQ;var_%'</f>
        <v>0</v>
      </c>
      <c r="D20" s="2">
        <f>[1]!'G1A.EQ;7'</f>
        <v>0</v>
      </c>
      <c r="E20" s="2">
        <f>[1]!'G1A.EQ;bid'</f>
        <v>0</v>
      </c>
      <c r="F20" s="2">
        <f>[1]!'G1A.EQ;ask'</f>
        <v>0</v>
      </c>
      <c r="G20" s="2">
        <f>[1]!'G1A.EQ;low'</f>
        <v>0</v>
      </c>
      <c r="H20" s="2">
        <f>[1]!'G1A.EQ;high'</f>
        <v>0</v>
      </c>
      <c r="I20" s="2">
        <f>[1]!'G1A.EQ;open'</f>
        <v>0</v>
      </c>
      <c r="J20" s="2">
        <f>[1]!'G1A.EQ;volume'</f>
        <v>0</v>
      </c>
      <c r="K20" s="2">
        <f>[1]!'G1A.EQ;market'</f>
        <v>0</v>
      </c>
      <c r="L20" s="3">
        <f>[1]!'G1A.EQ;timestamp'</f>
        <v>0</v>
      </c>
      <c r="M20" s="2">
        <f>[1]!'G1A.EQ;instr'</f>
        <v>0</v>
      </c>
      <c r="N20" s="2">
        <f>[1]!'G1A.EQ;currency'</f>
        <v>0</v>
      </c>
      <c r="O20" s="2">
        <f>[1]!'G1A.EQ;isin'</f>
        <v>0</v>
      </c>
    </row>
    <row r="21" spans="1:15" x14ac:dyDescent="0.3">
      <c r="A21" s="4">
        <f>[1]!'HNR1.EQ;description'</f>
        <v>0</v>
      </c>
      <c r="B21" s="4">
        <f>[1]!'HNR1.EQ;last'</f>
        <v>0</v>
      </c>
      <c r="C21" s="4">
        <f>[1]!'HNR1.EQ;var_%'</f>
        <v>0</v>
      </c>
      <c r="D21" s="4">
        <f>[1]!'HNR1.EQ;7'</f>
        <v>0</v>
      </c>
      <c r="E21" s="4">
        <f>[1]!'HNR1.EQ;bid'</f>
        <v>0</v>
      </c>
      <c r="F21" s="4">
        <f>[1]!'HNR1.EQ;ask'</f>
        <v>0</v>
      </c>
      <c r="G21" s="4">
        <f>[1]!'HNR1.EQ;low'</f>
        <v>0</v>
      </c>
      <c r="H21" s="4">
        <f>[1]!'HNR1.EQ;high'</f>
        <v>0</v>
      </c>
      <c r="I21" s="4">
        <f>[1]!'HNR1.EQ;open'</f>
        <v>0</v>
      </c>
      <c r="J21" s="4">
        <f>[1]!'HNR1.EQ;volume'</f>
        <v>0</v>
      </c>
      <c r="K21" s="4">
        <f>[1]!'HNR1.EQ;market'</f>
        <v>0</v>
      </c>
      <c r="L21" s="5">
        <f>[1]!'HNR1.EQ;timestamp'</f>
        <v>0</v>
      </c>
      <c r="M21" s="4">
        <f>[1]!'HNR1.EQ;instr'</f>
        <v>0</v>
      </c>
      <c r="N21" s="4">
        <f>[1]!'HNR1.EQ;currency'</f>
        <v>0</v>
      </c>
      <c r="O21" s="4">
        <f>[1]!'HNR1.EQ;isin'</f>
        <v>0</v>
      </c>
    </row>
    <row r="22" spans="1:15" x14ac:dyDescent="0.3">
      <c r="A22" s="2">
        <f>[1]!'HEI.EQ;description'</f>
        <v>0</v>
      </c>
      <c r="B22" s="2">
        <f>[1]!'HEI.EQ;last'</f>
        <v>0</v>
      </c>
      <c r="C22" s="2">
        <f>[1]!'HEI.EQ;var_%'</f>
        <v>0</v>
      </c>
      <c r="D22" s="2">
        <f>[1]!'HEI.EQ;7'</f>
        <v>0</v>
      </c>
      <c r="E22" s="2">
        <f>[1]!'HEI.EQ;bid'</f>
        <v>0</v>
      </c>
      <c r="F22" s="2">
        <f>[1]!'HEI.EQ;ask'</f>
        <v>0</v>
      </c>
      <c r="G22" s="2">
        <f>[1]!'HEI.EQ;low'</f>
        <v>0</v>
      </c>
      <c r="H22" s="2">
        <f>[1]!'HEI.EQ;high'</f>
        <v>0</v>
      </c>
      <c r="I22" s="2">
        <f>[1]!'HEI.EQ;open'</f>
        <v>0</v>
      </c>
      <c r="J22" s="2">
        <f>[1]!'HEI.EQ;volume'</f>
        <v>0</v>
      </c>
      <c r="K22" s="2">
        <f>[1]!'HEI.EQ;market'</f>
        <v>0</v>
      </c>
      <c r="L22" s="3">
        <f>[1]!'HEI.EQ;timestamp'</f>
        <v>0</v>
      </c>
      <c r="M22" s="2">
        <f>[1]!'HEI.EQ;instr'</f>
        <v>0</v>
      </c>
      <c r="N22" s="2">
        <f>[1]!'HEI.EQ;currency'</f>
        <v>0</v>
      </c>
      <c r="O22" s="2">
        <f>[1]!'HEI.EQ;isin'</f>
        <v>0</v>
      </c>
    </row>
    <row r="23" spans="1:15" x14ac:dyDescent="0.3">
      <c r="A23" s="4">
        <f>[1]!'HEN3.EQ;description'</f>
        <v>0</v>
      </c>
      <c r="B23" s="4">
        <f>[1]!'HEN3.EQ;last'</f>
        <v>0</v>
      </c>
      <c r="C23" s="4">
        <f>[1]!'HEN3.EQ;var_%'</f>
        <v>0</v>
      </c>
      <c r="D23" s="4">
        <f>[1]!'HEN3.EQ;7'</f>
        <v>0</v>
      </c>
      <c r="E23" s="4">
        <f>[1]!'HEN3.EQ;bid'</f>
        <v>0</v>
      </c>
      <c r="F23" s="4">
        <f>[1]!'HEN3.EQ;ask'</f>
        <v>0</v>
      </c>
      <c r="G23" s="4">
        <f>[1]!'HEN3.EQ;low'</f>
        <v>0</v>
      </c>
      <c r="H23" s="4">
        <f>[1]!'HEN3.EQ;high'</f>
        <v>0</v>
      </c>
      <c r="I23" s="4">
        <f>[1]!'HEN3.EQ;open'</f>
        <v>0</v>
      </c>
      <c r="J23" s="4">
        <f>[1]!'HEN3.EQ;volume'</f>
        <v>0</v>
      </c>
      <c r="K23" s="4">
        <f>[1]!'HEN3.EQ;market'</f>
        <v>0</v>
      </c>
      <c r="L23" s="5">
        <f>[1]!'HEN3.EQ;timestamp'</f>
        <v>0</v>
      </c>
      <c r="M23" s="4">
        <f>[1]!'HEN3.EQ;instr'</f>
        <v>0</v>
      </c>
      <c r="N23" s="4">
        <f>[1]!'HEN3.EQ;currency'</f>
        <v>0</v>
      </c>
      <c r="O23" s="4">
        <f>[1]!'HEN3.EQ;isin'</f>
        <v>0</v>
      </c>
    </row>
    <row r="24" spans="1:15" x14ac:dyDescent="0.3">
      <c r="A24" s="2">
        <f>[1]!'IFX.EQ;description'</f>
        <v>0</v>
      </c>
      <c r="B24" s="2">
        <f>[1]!'IFX.EQ;last'</f>
        <v>0</v>
      </c>
      <c r="C24" s="2">
        <f>[1]!'IFX.EQ;var_%'</f>
        <v>0</v>
      </c>
      <c r="D24" s="2">
        <f>[1]!'IFX.EQ;7'</f>
        <v>0</v>
      </c>
      <c r="E24" s="2">
        <f>[1]!'IFX.EQ;bid'</f>
        <v>0</v>
      </c>
      <c r="F24" s="2">
        <f>[1]!'IFX.EQ;ask'</f>
        <v>0</v>
      </c>
      <c r="G24" s="2">
        <f>[1]!'IFX.EQ;low'</f>
        <v>0</v>
      </c>
      <c r="H24" s="2">
        <f>[1]!'IFX.EQ;high'</f>
        <v>0</v>
      </c>
      <c r="I24" s="2">
        <f>[1]!'IFX.EQ;open'</f>
        <v>0</v>
      </c>
      <c r="J24" s="2">
        <f>[1]!'IFX.EQ;volume'</f>
        <v>0</v>
      </c>
      <c r="K24" s="2">
        <f>[1]!'IFX.EQ;market'</f>
        <v>0</v>
      </c>
      <c r="L24" s="3">
        <f>[1]!'IFX.EQ;timestamp'</f>
        <v>0</v>
      </c>
      <c r="M24" s="2">
        <f>[1]!'IFX.EQ;instr'</f>
        <v>0</v>
      </c>
      <c r="N24" s="2">
        <f>[1]!'IFX.EQ;currency'</f>
        <v>0</v>
      </c>
      <c r="O24" s="2">
        <f>[1]!'IFX.EQ;isin'</f>
        <v>0</v>
      </c>
    </row>
    <row r="25" spans="1:15" x14ac:dyDescent="0.3">
      <c r="A25" s="4">
        <f>[1]!'MBG.EQ;description'</f>
        <v>0</v>
      </c>
      <c r="B25" s="4">
        <f>[1]!'MBG.EQ;last'</f>
        <v>0</v>
      </c>
      <c r="C25" s="4">
        <f>[1]!'MBG.EQ;var_%'</f>
        <v>0</v>
      </c>
      <c r="D25" s="4">
        <f>[1]!'MBG.EQ;7'</f>
        <v>0</v>
      </c>
      <c r="E25" s="4">
        <f>[1]!'MBG.EQ;bid'</f>
        <v>0</v>
      </c>
      <c r="F25" s="4">
        <f>[1]!'MBG.EQ;ask'</f>
        <v>0</v>
      </c>
      <c r="G25" s="4">
        <f>[1]!'MBG.EQ;low'</f>
        <v>0</v>
      </c>
      <c r="H25" s="4">
        <f>[1]!'MBG.EQ;high'</f>
        <v>0</v>
      </c>
      <c r="I25" s="4">
        <f>[1]!'MBG.EQ;open'</f>
        <v>0</v>
      </c>
      <c r="J25" s="4">
        <f>[1]!'MBG.EQ;volume'</f>
        <v>0</v>
      </c>
      <c r="K25" s="4">
        <f>[1]!'MBG.EQ;market'</f>
        <v>0</v>
      </c>
      <c r="L25" s="5">
        <f>[1]!'MBG.EQ;timestamp'</f>
        <v>0</v>
      </c>
      <c r="M25" s="4">
        <f>[1]!'MBG.EQ;instr'</f>
        <v>0</v>
      </c>
      <c r="N25" s="4">
        <f>[1]!'MBG.EQ;currency'</f>
        <v>0</v>
      </c>
      <c r="O25" s="4">
        <f>[1]!'MBG.EQ;isin'</f>
        <v>0</v>
      </c>
    </row>
    <row r="26" spans="1:15" x14ac:dyDescent="0.3">
      <c r="A26" s="2">
        <f>[1]!'MRK.EQ;description'</f>
        <v>0</v>
      </c>
      <c r="B26" s="2">
        <f>[1]!'MRK.EQ;last'</f>
        <v>0</v>
      </c>
      <c r="C26" s="2">
        <f>[1]!'MRK.EQ;var_%'</f>
        <v>0</v>
      </c>
      <c r="D26" s="2">
        <f>[1]!'MRK.EQ;7'</f>
        <v>0</v>
      </c>
      <c r="E26" s="2">
        <f>[1]!'MRK.EQ;bid'</f>
        <v>0</v>
      </c>
      <c r="F26" s="2">
        <f>[1]!'MRK.EQ;ask'</f>
        <v>0</v>
      </c>
      <c r="G26" s="2">
        <f>[1]!'MRK.EQ;low'</f>
        <v>0</v>
      </c>
      <c r="H26" s="2">
        <f>[1]!'MRK.EQ;high'</f>
        <v>0</v>
      </c>
      <c r="I26" s="2">
        <f>[1]!'MRK.EQ;open'</f>
        <v>0</v>
      </c>
      <c r="J26" s="2">
        <f>[1]!'MRK.EQ;volume'</f>
        <v>0</v>
      </c>
      <c r="K26" s="2">
        <f>[1]!'MRK.EQ;market'</f>
        <v>0</v>
      </c>
      <c r="L26" s="3">
        <f>[1]!'MRK.EQ;timestamp'</f>
        <v>0</v>
      </c>
      <c r="M26" s="2">
        <f>[1]!'MRK.EQ;instr'</f>
        <v>0</v>
      </c>
      <c r="N26" s="2">
        <f>[1]!'MRK.EQ;currency'</f>
        <v>0</v>
      </c>
      <c r="O26" s="2">
        <f>[1]!'MRK.EQ;isin'</f>
        <v>0</v>
      </c>
    </row>
    <row r="27" spans="1:15" x14ac:dyDescent="0.3">
      <c r="A27" s="4">
        <f>[1]!'MTX.EQ;description'</f>
        <v>0</v>
      </c>
      <c r="B27" s="4">
        <f>[1]!'MTX.EQ;last'</f>
        <v>0</v>
      </c>
      <c r="C27" s="4">
        <f>[1]!'MTX.EQ;var_%'</f>
        <v>0</v>
      </c>
      <c r="D27" s="4">
        <f>[1]!'MTX.EQ;7'</f>
        <v>0</v>
      </c>
      <c r="E27" s="4">
        <f>[1]!'MTX.EQ;bid'</f>
        <v>0</v>
      </c>
      <c r="F27" s="4">
        <f>[1]!'MTX.EQ;ask'</f>
        <v>0</v>
      </c>
      <c r="G27" s="4">
        <f>[1]!'MTX.EQ;low'</f>
        <v>0</v>
      </c>
      <c r="H27" s="4">
        <f>[1]!'MTX.EQ;high'</f>
        <v>0</v>
      </c>
      <c r="I27" s="4">
        <f>[1]!'MTX.EQ;open'</f>
        <v>0</v>
      </c>
      <c r="J27" s="4">
        <f>[1]!'MTX.EQ;volume'</f>
        <v>0</v>
      </c>
      <c r="K27" s="4">
        <f>[1]!'MTX.EQ;market'</f>
        <v>0</v>
      </c>
      <c r="L27" s="5">
        <f>[1]!'MTX.EQ;timestamp'</f>
        <v>0</v>
      </c>
      <c r="M27" s="4">
        <f>[1]!'MTX.EQ;instr'</f>
        <v>0</v>
      </c>
      <c r="N27" s="4">
        <f>[1]!'MTX.EQ;currency'</f>
        <v>0</v>
      </c>
      <c r="O27" s="4">
        <f>[1]!'MTX.EQ;isin'</f>
        <v>0</v>
      </c>
    </row>
    <row r="28" spans="1:15" x14ac:dyDescent="0.3">
      <c r="A28" s="2">
        <f>[1]!'MUV2.EQ;description'</f>
        <v>0</v>
      </c>
      <c r="B28" s="2">
        <f>[1]!'MUV2.EQ;last'</f>
        <v>0</v>
      </c>
      <c r="C28" s="2">
        <f>[1]!'MUV2.EQ;var_%'</f>
        <v>0</v>
      </c>
      <c r="D28" s="2">
        <f>[1]!'MUV2.EQ;7'</f>
        <v>0</v>
      </c>
      <c r="E28" s="2">
        <f>[1]!'MUV2.EQ;bid'</f>
        <v>0</v>
      </c>
      <c r="F28" s="2">
        <f>[1]!'MUV2.EQ;ask'</f>
        <v>0</v>
      </c>
      <c r="G28" s="2">
        <f>[1]!'MUV2.EQ;low'</f>
        <v>0</v>
      </c>
      <c r="H28" s="2">
        <f>[1]!'MUV2.EQ;high'</f>
        <v>0</v>
      </c>
      <c r="I28" s="2">
        <f>[1]!'MUV2.EQ;open'</f>
        <v>0</v>
      </c>
      <c r="J28" s="2">
        <f>[1]!'MUV2.EQ;volume'</f>
        <v>0</v>
      </c>
      <c r="K28" s="2">
        <f>[1]!'MUV2.EQ;market'</f>
        <v>0</v>
      </c>
      <c r="L28" s="3">
        <f>[1]!'MUV2.EQ;timestamp'</f>
        <v>0</v>
      </c>
      <c r="M28" s="2">
        <f>[1]!'MUV2.EQ;instr'</f>
        <v>0</v>
      </c>
      <c r="N28" s="2">
        <f>[1]!'MUV2.EQ;currency'</f>
        <v>0</v>
      </c>
      <c r="O28" s="2">
        <f>[1]!'MUV2.EQ;isin'</f>
        <v>0</v>
      </c>
    </row>
    <row r="29" spans="1:15" x14ac:dyDescent="0.3">
      <c r="A29" s="4">
        <f>[1]!'PAH3.EQ;description'</f>
        <v>0</v>
      </c>
      <c r="B29" s="4">
        <f>[1]!'PAH3.EQ;last'</f>
        <v>0</v>
      </c>
      <c r="C29" s="4">
        <f>[1]!'PAH3.EQ;var_%'</f>
        <v>0</v>
      </c>
      <c r="D29" s="4">
        <f>[1]!'PAH3.EQ;7'</f>
        <v>0</v>
      </c>
      <c r="E29" s="4">
        <f>[1]!'PAH3.EQ;bid'</f>
        <v>0</v>
      </c>
      <c r="F29" s="4">
        <f>[1]!'PAH3.EQ;ask'</f>
        <v>0</v>
      </c>
      <c r="G29" s="4">
        <f>[1]!'PAH3.EQ;low'</f>
        <v>0</v>
      </c>
      <c r="H29" s="4">
        <f>[1]!'PAH3.EQ;high'</f>
        <v>0</v>
      </c>
      <c r="I29" s="4">
        <f>[1]!'PAH3.EQ;open'</f>
        <v>0</v>
      </c>
      <c r="J29" s="4">
        <f>[1]!'PAH3.EQ;volume'</f>
        <v>0</v>
      </c>
      <c r="K29" s="4">
        <f>[1]!'PAH3.EQ;market'</f>
        <v>0</v>
      </c>
      <c r="L29" s="5">
        <f>[1]!'PAH3.EQ;timestamp'</f>
        <v>0</v>
      </c>
      <c r="M29" s="4">
        <f>[1]!'PAH3.EQ;instr'</f>
        <v>0</v>
      </c>
      <c r="N29" s="4">
        <f>[1]!'PAH3.EQ;currency'</f>
        <v>0</v>
      </c>
      <c r="O29" s="4">
        <f>[1]!'PAH3.EQ;isin'</f>
        <v>0</v>
      </c>
    </row>
    <row r="30" spans="1:15" x14ac:dyDescent="0.3">
      <c r="A30" s="2">
        <f>[1]!'QIA.EQ;description'</f>
        <v>0</v>
      </c>
      <c r="B30" s="2">
        <f>[1]!'QIA.EQ;last'</f>
        <v>0</v>
      </c>
      <c r="C30" s="2">
        <f>[1]!'QIA.EQ;var_%'</f>
        <v>0</v>
      </c>
      <c r="D30" s="2">
        <f>[1]!'QIA.EQ;7'</f>
        <v>0</v>
      </c>
      <c r="E30" s="2">
        <f>[1]!'QIA.EQ;bid'</f>
        <v>0</v>
      </c>
      <c r="F30" s="2">
        <f>[1]!'QIA.EQ;ask'</f>
        <v>0</v>
      </c>
      <c r="G30" s="2">
        <f>[1]!'QIA.EQ;low'</f>
        <v>0</v>
      </c>
      <c r="H30" s="2">
        <f>[1]!'QIA.EQ;high'</f>
        <v>0</v>
      </c>
      <c r="I30" s="2">
        <f>[1]!'QIA.EQ;open'</f>
        <v>0</v>
      </c>
      <c r="J30" s="2">
        <f>[1]!'QIA.EQ;volume'</f>
        <v>0</v>
      </c>
      <c r="K30" s="2">
        <f>[1]!'QIA.EQ;market'</f>
        <v>0</v>
      </c>
      <c r="L30" s="3">
        <f>[1]!'QIA.EQ;timestamp'</f>
        <v>0</v>
      </c>
      <c r="M30" s="2">
        <f>[1]!'QIA.EQ;instr'</f>
        <v>0</v>
      </c>
      <c r="N30" s="2">
        <f>[1]!'QIA.EQ;currency'</f>
        <v>0</v>
      </c>
      <c r="O30" s="2">
        <f>[1]!'QIA.EQ;isin'</f>
        <v>0</v>
      </c>
    </row>
    <row r="31" spans="1:15" x14ac:dyDescent="0.3">
      <c r="A31" s="4">
        <f>[1]!'RHM.EQ;description'</f>
        <v>0</v>
      </c>
      <c r="B31" s="4">
        <f>[1]!'RHM.EQ;last'</f>
        <v>0</v>
      </c>
      <c r="C31" s="4">
        <f>[1]!'RHM.EQ;var_%'</f>
        <v>0</v>
      </c>
      <c r="D31" s="4">
        <f>[1]!'RHM.EQ;7'</f>
        <v>0</v>
      </c>
      <c r="E31" s="4">
        <f>[1]!'RHM.EQ;bid'</f>
        <v>0</v>
      </c>
      <c r="F31" s="4">
        <f>[1]!'RHM.EQ;ask'</f>
        <v>0</v>
      </c>
      <c r="G31" s="4">
        <f>[1]!'RHM.EQ;low'</f>
        <v>0</v>
      </c>
      <c r="H31" s="4">
        <f>[1]!'RHM.EQ;high'</f>
        <v>0</v>
      </c>
      <c r="I31" s="4">
        <f>[1]!'RHM.EQ;open'</f>
        <v>0</v>
      </c>
      <c r="J31" s="4">
        <f>[1]!'RHM.EQ;volume'</f>
        <v>0</v>
      </c>
      <c r="K31" s="4">
        <f>[1]!'RHM.EQ;market'</f>
        <v>0</v>
      </c>
      <c r="L31" s="5">
        <f>[1]!'RHM.EQ;timestamp'</f>
        <v>0</v>
      </c>
      <c r="M31" s="4">
        <f>[1]!'RHM.EQ;instr'</f>
        <v>0</v>
      </c>
      <c r="N31" s="4">
        <f>[1]!'RHM.EQ;currency'</f>
        <v>0</v>
      </c>
      <c r="O31" s="4">
        <f>[1]!'RHM.EQ;isin'</f>
        <v>0</v>
      </c>
    </row>
    <row r="32" spans="1:15" x14ac:dyDescent="0.3">
      <c r="A32" s="2">
        <f>[1]!'RWE.EQ;description'</f>
        <v>0</v>
      </c>
      <c r="B32" s="2">
        <f>[1]!'RWE.EQ;last'</f>
        <v>0</v>
      </c>
      <c r="C32" s="2">
        <f>[1]!'RWE.EQ;var_%'</f>
        <v>0</v>
      </c>
      <c r="D32" s="2">
        <f>[1]!'RWE.EQ;7'</f>
        <v>0</v>
      </c>
      <c r="E32" s="2">
        <f>[1]!'RWE.EQ;bid'</f>
        <v>0</v>
      </c>
      <c r="F32" s="2">
        <f>[1]!'RWE.EQ;ask'</f>
        <v>0</v>
      </c>
      <c r="G32" s="2">
        <f>[1]!'RWE.EQ;low'</f>
        <v>0</v>
      </c>
      <c r="H32" s="2">
        <f>[1]!'RWE.EQ;high'</f>
        <v>0</v>
      </c>
      <c r="I32" s="2">
        <f>[1]!'RWE.EQ;open'</f>
        <v>0</v>
      </c>
      <c r="J32" s="2">
        <f>[1]!'RWE.EQ;volume'</f>
        <v>0</v>
      </c>
      <c r="K32" s="2">
        <f>[1]!'RWE.EQ;market'</f>
        <v>0</v>
      </c>
      <c r="L32" s="3">
        <f>[1]!'RWE.EQ;timestamp'</f>
        <v>0</v>
      </c>
      <c r="M32" s="2">
        <f>[1]!'RWE.EQ;instr'</f>
        <v>0</v>
      </c>
      <c r="N32" s="2">
        <f>[1]!'RWE.EQ;currency'</f>
        <v>0</v>
      </c>
      <c r="O32" s="2">
        <f>[1]!'RWE.EQ;isin'</f>
        <v>0</v>
      </c>
    </row>
    <row r="33" spans="1:15" x14ac:dyDescent="0.3">
      <c r="A33" s="4">
        <f>[1]!'SAP.EQ;description'</f>
        <v>0</v>
      </c>
      <c r="B33" s="4">
        <f>[1]!'SAP.EQ;last'</f>
        <v>0</v>
      </c>
      <c r="C33" s="4">
        <f>[1]!'SAP.EQ;var_%'</f>
        <v>0</v>
      </c>
      <c r="D33" s="4">
        <f>[1]!'SAP.EQ;7'</f>
        <v>0</v>
      </c>
      <c r="E33" s="4">
        <f>[1]!'SAP.EQ;bid'</f>
        <v>0</v>
      </c>
      <c r="F33" s="4">
        <f>[1]!'SAP.EQ;ask'</f>
        <v>0</v>
      </c>
      <c r="G33" s="4">
        <f>[1]!'SAP.EQ;low'</f>
        <v>0</v>
      </c>
      <c r="H33" s="4">
        <f>[1]!'SAP.EQ;high'</f>
        <v>0</v>
      </c>
      <c r="I33" s="4">
        <f>[1]!'SAP.EQ;open'</f>
        <v>0</v>
      </c>
      <c r="J33" s="4">
        <f>[1]!'SAP.EQ;volume'</f>
        <v>0</v>
      </c>
      <c r="K33" s="4">
        <f>[1]!'SAP.EQ;market'</f>
        <v>0</v>
      </c>
      <c r="L33" s="5">
        <f>[1]!'SAP.EQ;timestamp'</f>
        <v>0</v>
      </c>
      <c r="M33" s="4">
        <f>[1]!'SAP.EQ;instr'</f>
        <v>0</v>
      </c>
      <c r="N33" s="4">
        <f>[1]!'SAP.EQ;currency'</f>
        <v>0</v>
      </c>
      <c r="O33" s="4">
        <f>[1]!'SAP.EQ;isin'</f>
        <v>0</v>
      </c>
    </row>
    <row r="34" spans="1:15" x14ac:dyDescent="0.3">
      <c r="A34" s="2">
        <f>[1]!'G24.EQ;description'</f>
        <v>0</v>
      </c>
      <c r="B34" s="2">
        <f>[1]!'G24.EQ;last'</f>
        <v>0</v>
      </c>
      <c r="C34" s="2">
        <f>[1]!'G24.EQ;var_%'</f>
        <v>0</v>
      </c>
      <c r="D34" s="2">
        <f>[1]!'G24.EQ;7'</f>
        <v>0</v>
      </c>
      <c r="E34" s="2">
        <f>[1]!'G24.EQ;bid'</f>
        <v>0</v>
      </c>
      <c r="F34" s="2">
        <f>[1]!'G24.EQ;ask'</f>
        <v>0</v>
      </c>
      <c r="G34" s="2">
        <f>[1]!'G24.EQ;low'</f>
        <v>0</v>
      </c>
      <c r="H34" s="2">
        <f>[1]!'G24.EQ;high'</f>
        <v>0</v>
      </c>
      <c r="I34" s="2">
        <f>[1]!'G24.EQ;open'</f>
        <v>0</v>
      </c>
      <c r="J34" s="2">
        <f>[1]!'G24.EQ;volume'</f>
        <v>0</v>
      </c>
      <c r="K34" s="2">
        <f>[1]!'G24.EQ;market'</f>
        <v>0</v>
      </c>
      <c r="L34" s="3">
        <f>[1]!'G24.EQ;timestamp'</f>
        <v>0</v>
      </c>
      <c r="M34" s="2">
        <f>[1]!'G24.EQ;instr'</f>
        <v>0</v>
      </c>
      <c r="N34" s="2">
        <f>[1]!'G24.EQ;currency'</f>
        <v>0</v>
      </c>
      <c r="O34" s="2">
        <f>[1]!'G24.EQ;isin'</f>
        <v>0</v>
      </c>
    </row>
    <row r="35" spans="1:15" x14ac:dyDescent="0.3">
      <c r="A35" s="4">
        <f>[1]!'SIE.EQ;description'</f>
        <v>0</v>
      </c>
      <c r="B35" s="4">
        <f>[1]!'SIE.EQ;last'</f>
        <v>0</v>
      </c>
      <c r="C35" s="4">
        <f>[1]!'SIE.EQ;var_%'</f>
        <v>0</v>
      </c>
      <c r="D35" s="4">
        <f>[1]!'SIE.EQ;7'</f>
        <v>0</v>
      </c>
      <c r="E35" s="4">
        <f>[1]!'SIE.EQ;bid'</f>
        <v>0</v>
      </c>
      <c r="F35" s="4">
        <f>[1]!'SIE.EQ;ask'</f>
        <v>0</v>
      </c>
      <c r="G35" s="4">
        <f>[1]!'SIE.EQ;low'</f>
        <v>0</v>
      </c>
      <c r="H35" s="4">
        <f>[1]!'SIE.EQ;high'</f>
        <v>0</v>
      </c>
      <c r="I35" s="4">
        <f>[1]!'SIE.EQ;open'</f>
        <v>0</v>
      </c>
      <c r="J35" s="4">
        <f>[1]!'SIE.EQ;volume'</f>
        <v>0</v>
      </c>
      <c r="K35" s="4">
        <f>[1]!'SIE.EQ;market'</f>
        <v>0</v>
      </c>
      <c r="L35" s="5">
        <f>[1]!'SIE.EQ;timestamp'</f>
        <v>0</v>
      </c>
      <c r="M35" s="4">
        <f>[1]!'SIE.EQ;instr'</f>
        <v>0</v>
      </c>
      <c r="N35" s="4">
        <f>[1]!'SIE.EQ;currency'</f>
        <v>0</v>
      </c>
      <c r="O35" s="4">
        <f>[1]!'SIE.EQ;isin'</f>
        <v>0</v>
      </c>
    </row>
    <row r="36" spans="1:15" x14ac:dyDescent="0.3">
      <c r="A36" s="2">
        <f>[1]!'ENR.EQ;description'</f>
        <v>0</v>
      </c>
      <c r="B36" s="2">
        <f>[1]!'ENR.EQ;last'</f>
        <v>0</v>
      </c>
      <c r="C36" s="2">
        <f>[1]!'ENR.EQ;var_%'</f>
        <v>0</v>
      </c>
      <c r="D36" s="2">
        <f>[1]!'ENR.EQ;7'</f>
        <v>0</v>
      </c>
      <c r="E36" s="2">
        <f>[1]!'ENR.EQ;bid'</f>
        <v>0</v>
      </c>
      <c r="F36" s="2">
        <f>[1]!'ENR.EQ;ask'</f>
        <v>0</v>
      </c>
      <c r="G36" s="2">
        <f>[1]!'ENR.EQ;low'</f>
        <v>0</v>
      </c>
      <c r="H36" s="2">
        <f>[1]!'ENR.EQ;high'</f>
        <v>0</v>
      </c>
      <c r="I36" s="2">
        <f>[1]!'ENR.EQ;open'</f>
        <v>0</v>
      </c>
      <c r="J36" s="2">
        <f>[1]!'ENR.EQ;volume'</f>
        <v>0</v>
      </c>
      <c r="K36" s="2">
        <f>[1]!'ENR.EQ;market'</f>
        <v>0</v>
      </c>
      <c r="L36" s="3">
        <f>[1]!'ENR.EQ;timestamp'</f>
        <v>0</v>
      </c>
      <c r="M36" s="2">
        <f>[1]!'ENR.EQ;instr'</f>
        <v>0</v>
      </c>
      <c r="N36" s="2">
        <f>[1]!'ENR.EQ;currency'</f>
        <v>0</v>
      </c>
      <c r="O36" s="2">
        <f>[1]!'ENR.EQ;isin'</f>
        <v>0</v>
      </c>
    </row>
    <row r="37" spans="1:15" x14ac:dyDescent="0.3">
      <c r="A37" s="4">
        <f>[1]!'SHL.EQ;description'</f>
        <v>0</v>
      </c>
      <c r="B37" s="4">
        <f>[1]!'SHL.EQ;last'</f>
        <v>0</v>
      </c>
      <c r="C37" s="4">
        <f>[1]!'SHL.EQ;var_%'</f>
        <v>0</v>
      </c>
      <c r="D37" s="4">
        <f>[1]!'SHL.EQ;7'</f>
        <v>0</v>
      </c>
      <c r="E37" s="4">
        <f>[1]!'SHL.EQ;bid'</f>
        <v>0</v>
      </c>
      <c r="F37" s="4">
        <f>[1]!'SHL.EQ;ask'</f>
        <v>0</v>
      </c>
      <c r="G37" s="4">
        <f>[1]!'SHL.EQ;low'</f>
        <v>0</v>
      </c>
      <c r="H37" s="4">
        <f>[1]!'SHL.EQ;high'</f>
        <v>0</v>
      </c>
      <c r="I37" s="4">
        <f>[1]!'SHL.EQ;open'</f>
        <v>0</v>
      </c>
      <c r="J37" s="4">
        <f>[1]!'SHL.EQ;volume'</f>
        <v>0</v>
      </c>
      <c r="K37" s="4">
        <f>[1]!'SHL.EQ;market'</f>
        <v>0</v>
      </c>
      <c r="L37" s="5">
        <f>[1]!'SHL.EQ;timestamp'</f>
        <v>0</v>
      </c>
      <c r="M37" s="4">
        <f>[1]!'SHL.EQ;instr'</f>
        <v>0</v>
      </c>
      <c r="N37" s="4">
        <f>[1]!'SHL.EQ;currency'</f>
        <v>0</v>
      </c>
      <c r="O37" s="4">
        <f>[1]!'SHL.EQ;isin'</f>
        <v>0</v>
      </c>
    </row>
    <row r="38" spans="1:15" x14ac:dyDescent="0.3">
      <c r="A38" s="2">
        <f>[1]!'SY1.EQ;description'</f>
        <v>0</v>
      </c>
      <c r="B38" s="2">
        <f>[1]!'SY1.EQ;last'</f>
        <v>0</v>
      </c>
      <c r="C38" s="2">
        <f>[1]!'SY1.EQ;var_%'</f>
        <v>0</v>
      </c>
      <c r="D38" s="2">
        <f>[1]!'SY1.EQ;7'</f>
        <v>0</v>
      </c>
      <c r="E38" s="2">
        <f>[1]!'SY1.EQ;bid'</f>
        <v>0</v>
      </c>
      <c r="F38" s="2">
        <f>[1]!'SY1.EQ;ask'</f>
        <v>0</v>
      </c>
      <c r="G38" s="2">
        <f>[1]!'SY1.EQ;low'</f>
        <v>0</v>
      </c>
      <c r="H38" s="2">
        <f>[1]!'SY1.EQ;high'</f>
        <v>0</v>
      </c>
      <c r="I38" s="2">
        <f>[1]!'SY1.EQ;open'</f>
        <v>0</v>
      </c>
      <c r="J38" s="2">
        <f>[1]!'SY1.EQ;volume'</f>
        <v>0</v>
      </c>
      <c r="K38" s="2">
        <f>[1]!'SY1.EQ;market'</f>
        <v>0</v>
      </c>
      <c r="L38" s="3">
        <f>[1]!'SY1.EQ;timestamp'</f>
        <v>0</v>
      </c>
      <c r="M38" s="2">
        <f>[1]!'SY1.EQ;instr'</f>
        <v>0</v>
      </c>
      <c r="N38" s="2">
        <f>[1]!'SY1.EQ;currency'</f>
        <v>0</v>
      </c>
      <c r="O38" s="2">
        <f>[1]!'SY1.EQ;isin'</f>
        <v>0</v>
      </c>
    </row>
    <row r="39" spans="1:15" x14ac:dyDescent="0.3">
      <c r="A39" s="4">
        <f>[1]!'VOW3.EQ;description'</f>
        <v>0</v>
      </c>
      <c r="B39" s="4">
        <f>[1]!'VOW3.EQ;last'</f>
        <v>0</v>
      </c>
      <c r="C39" s="4">
        <f>[1]!'VOW3.EQ;var_%'</f>
        <v>0</v>
      </c>
      <c r="D39" s="4">
        <f>[1]!'VOW3.EQ;7'</f>
        <v>0</v>
      </c>
      <c r="E39" s="4">
        <f>[1]!'VOW3.EQ;bid'</f>
        <v>0</v>
      </c>
      <c r="F39" s="4">
        <f>[1]!'VOW3.EQ;ask'</f>
        <v>0</v>
      </c>
      <c r="G39" s="4">
        <f>[1]!'VOW3.EQ;low'</f>
        <v>0</v>
      </c>
      <c r="H39" s="4">
        <f>[1]!'VOW3.EQ;high'</f>
        <v>0</v>
      </c>
      <c r="I39" s="4">
        <f>[1]!'VOW3.EQ;open'</f>
        <v>0</v>
      </c>
      <c r="J39" s="4">
        <f>[1]!'VOW3.EQ;volume'</f>
        <v>0</v>
      </c>
      <c r="K39" s="4">
        <f>[1]!'VOW3.EQ;market'</f>
        <v>0</v>
      </c>
      <c r="L39" s="5">
        <f>[1]!'VOW3.EQ;timestamp'</f>
        <v>0</v>
      </c>
      <c r="M39" s="4">
        <f>[1]!'VOW3.EQ;instr'</f>
        <v>0</v>
      </c>
      <c r="N39" s="4">
        <f>[1]!'VOW3.EQ;currency'</f>
        <v>0</v>
      </c>
      <c r="O39" s="4">
        <f>[1]!'VOW3.EQ;isin'</f>
        <v>0</v>
      </c>
    </row>
    <row r="40" spans="1:15" x14ac:dyDescent="0.3">
      <c r="A40" s="2">
        <f>[1]!'VNA.EQ;description'</f>
        <v>0</v>
      </c>
      <c r="B40" s="2">
        <f>[1]!'VNA.EQ;last'</f>
        <v>0</v>
      </c>
      <c r="C40" s="2">
        <f>[1]!'VNA.EQ;var_%'</f>
        <v>0</v>
      </c>
      <c r="D40" s="2">
        <f>[1]!'VNA.EQ;7'</f>
        <v>0</v>
      </c>
      <c r="E40" s="2">
        <f>[1]!'VNA.EQ;bid'</f>
        <v>0</v>
      </c>
      <c r="F40" s="2">
        <f>[1]!'VNA.EQ;ask'</f>
        <v>0</v>
      </c>
      <c r="G40" s="2">
        <f>[1]!'VNA.EQ;low'</f>
        <v>0</v>
      </c>
      <c r="H40" s="2">
        <f>[1]!'VNA.EQ;high'</f>
        <v>0</v>
      </c>
      <c r="I40" s="2">
        <f>[1]!'VNA.EQ;open'</f>
        <v>0</v>
      </c>
      <c r="J40" s="2">
        <f>[1]!'VNA.EQ;volume'</f>
        <v>0</v>
      </c>
      <c r="K40" s="2">
        <f>[1]!'VNA.EQ;market'</f>
        <v>0</v>
      </c>
      <c r="L40" s="3">
        <f>[1]!'VNA.EQ;timestamp'</f>
        <v>0</v>
      </c>
      <c r="M40" s="2">
        <f>[1]!'VNA.EQ;instr'</f>
        <v>0</v>
      </c>
      <c r="N40" s="2">
        <f>[1]!'VNA.EQ;currency'</f>
        <v>0</v>
      </c>
      <c r="O40" s="2">
        <f>[1]!'VNA.EQ;isin'</f>
        <v>0</v>
      </c>
    </row>
    <row r="41" spans="1:15" x14ac:dyDescent="0.3">
      <c r="A41" s="4">
        <f>[1]!'ZAL.EQ;description'</f>
        <v>0</v>
      </c>
      <c r="B41" s="4">
        <f>[1]!'ZAL.EQ;last'</f>
        <v>0</v>
      </c>
      <c r="C41" s="4">
        <f>[1]!'ZAL.EQ;var_%'</f>
        <v>0</v>
      </c>
      <c r="D41" s="4">
        <f>[1]!'ZAL.EQ;7'</f>
        <v>0</v>
      </c>
      <c r="E41" s="4">
        <f>[1]!'ZAL.EQ;bid'</f>
        <v>0</v>
      </c>
      <c r="F41" s="4">
        <f>[1]!'ZAL.EQ;ask'</f>
        <v>0</v>
      </c>
      <c r="G41" s="4">
        <f>[1]!'ZAL.EQ;low'</f>
        <v>0</v>
      </c>
      <c r="H41" s="4">
        <f>[1]!'ZAL.EQ;high'</f>
        <v>0</v>
      </c>
      <c r="I41" s="4">
        <f>[1]!'ZAL.EQ;open'</f>
        <v>0</v>
      </c>
      <c r="J41" s="4">
        <f>[1]!'ZAL.EQ;volume'</f>
        <v>0</v>
      </c>
      <c r="K41" s="4">
        <f>[1]!'ZAL.EQ;market'</f>
        <v>0</v>
      </c>
      <c r="L41" s="5">
        <f>[1]!'ZAL.EQ;timestamp'</f>
        <v>0</v>
      </c>
      <c r="M41" s="4">
        <f>[1]!'ZAL.EQ;instr'</f>
        <v>0</v>
      </c>
      <c r="N41" s="4">
        <f>[1]!'ZAL.EQ;currency'</f>
        <v>0</v>
      </c>
      <c r="O41" s="4">
        <f>[1]!'ZAL.EQ;isin'</f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Maccaferri Roberto</dc:creator>
  <cp:lastModifiedBy>Maccaferri Roberto</cp:lastModifiedBy>
  <dcterms:created xsi:type="dcterms:W3CDTF">2026-02-26T22:06:05Z</dcterms:created>
  <dcterms:modified xsi:type="dcterms:W3CDTF">2026-02-26T22:09:21Z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5e73d5-88d0-428f-9e89-73cbe9b8f798_Enabled">
    <vt:lpwstr>true</vt:lpwstr>
  </property>
  <property fmtid="{D5CDD505-2E9C-101B-9397-08002B2CF9AE}" pid="3" name="MSIP_Label_f55e73d5-88d0-428f-9e89-73cbe9b8f798_SetDate">
    <vt:lpwstr>2026-02-26T22:09:01Z</vt:lpwstr>
  </property>
  <property fmtid="{D5CDD505-2E9C-101B-9397-08002B2CF9AE}" pid="4" name="MSIP_Label_f55e73d5-88d0-428f-9e89-73cbe9b8f798_Method">
    <vt:lpwstr>Standard</vt:lpwstr>
  </property>
  <property fmtid="{D5CDD505-2E9C-101B-9397-08002B2CF9AE}" pid="5" name="MSIP_Label_f55e73d5-88d0-428f-9e89-73cbe9b8f798_Name">
    <vt:lpwstr>Fastweb C2 – Internal Use PoC</vt:lpwstr>
  </property>
  <property fmtid="{D5CDD505-2E9C-101B-9397-08002B2CF9AE}" pid="6" name="MSIP_Label_f55e73d5-88d0-428f-9e89-73cbe9b8f798_SiteId">
    <vt:lpwstr>129eaafa-6f61-4c48-b69f-46a2502c1b2e</vt:lpwstr>
  </property>
  <property fmtid="{D5CDD505-2E9C-101B-9397-08002B2CF9AE}" pid="7" name="MSIP_Label_f55e73d5-88d0-428f-9e89-73cbe9b8f798_ActionId">
    <vt:lpwstr>0be781cf-59a9-44e4-9e33-cb936fdb185e</vt:lpwstr>
  </property>
  <property fmtid="{D5CDD505-2E9C-101B-9397-08002B2CF9AE}" pid="8" name="MSIP_Label_f55e73d5-88d0-428f-9e89-73cbe9b8f798_ContentBits">
    <vt:lpwstr>0</vt:lpwstr>
  </property>
  <property fmtid="{D5CDD505-2E9C-101B-9397-08002B2CF9AE}" pid="9" name="MSIP_Label_f55e73d5-88d0-428f-9e89-73cbe9b8f798_Tag">
    <vt:lpwstr>10, 3, 0, 1</vt:lpwstr>
  </property>
</Properties>
</file>